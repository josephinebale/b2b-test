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Jobs to be done" sheetId="2" state="visible" r:id="rId4"/>
  </sheets>
  <definedNames>
    <definedName function="false" hidden="true" localSheetId="1" name="_xlnm._FilterDatabase" vbProcedure="false">'Jobs to be done'!$A$1:$I$120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<sst xmlns="http://schemas.openxmlformats.org/spreadsheetml/2006/main" count="813" uniqueCount="192">
  <si>
    <t xml:space="preserve">Jobs to be done — Hireup for Providers</t>
  </si>
  <si>
    <t xml:space="preserve">Sources: CPA (Dorothy, Elise), Northcott (Carlos, Sufi), Life Without Barriers (Suman).</t>
  </si>
  <si>
    <t xml:space="preserve">By organisation</t>
  </si>
  <si>
    <t xml:space="preserve">By theme</t>
  </si>
  <si>
    <t xml:space="preserve">Organisation</t>
  </si>
  <si>
    <t xml:space="preserve">Jobs</t>
  </si>
  <si>
    <t xml:space="preserve">IA relevant</t>
  </si>
  <si>
    <t xml:space="preserve">Theme</t>
  </si>
  <si>
    <t xml:space="preserve">Cerebral Palsy Alliance</t>
  </si>
  <si>
    <t xml:space="preserve">Filling a shift</t>
  </si>
  <si>
    <t xml:space="preserve">Northcott</t>
  </si>
  <si>
    <t xml:space="preserve">Choosing a worker</t>
  </si>
  <si>
    <t xml:space="preserve">Life Without Barriers</t>
  </si>
  <si>
    <t xml:space="preserve">Worker safety and compliance</t>
  </si>
  <si>
    <t xml:space="preserve">Total</t>
  </si>
  <si>
    <t xml:space="preserve">Talking to workers</t>
  </si>
  <si>
    <t xml:space="preserve">Notifications</t>
  </si>
  <si>
    <t xml:space="preserve">Notes</t>
  </si>
  <si>
    <t xml:space="preserve">Oversight</t>
  </si>
  <si>
    <t xml:space="preserve">1.  Job wording uses each participant's own terms of phrase, so the concepts stay familiar rather than being restated in our language.</t>
  </si>
  <si>
    <t xml:space="preserve">Forward planning</t>
  </si>
  <si>
    <t xml:space="preserve">2.  'IA relevant' is an attribute, not a separate list. Jobs that are not IA relevant are still real jobs.</t>
  </si>
  <si>
    <t xml:space="preserve">Funding and invoicing</t>
  </si>
  <si>
    <t xml:space="preserve">3.  Preferring email over the portal appears at Northcott and LWB and nowhere at CPA. It is the sharpest split in the research.</t>
  </si>
  <si>
    <t xml:space="preserve">Describing a site</t>
  </si>
  <si>
    <t xml:space="preserve">4.  Master rosters and recurring shifts appear at CPA, Northcott and LWB. The prototype only knows one-off requests.</t>
  </si>
  <si>
    <t xml:space="preserve">Building a team</t>
  </si>
  <si>
    <t xml:space="preserve">5.  LWB contradicts two things the prototype assumes: stated availability is not trusted, and being booked elsewhere does not matter.</t>
  </si>
  <si>
    <t xml:space="preserve">Learning the platform</t>
  </si>
  <si>
    <t xml:space="preserve">Hireup as a service</t>
  </si>
  <si>
    <t xml:space="preserve">Sector</t>
  </si>
  <si>
    <t xml:space="preserve">Job to be done</t>
  </si>
  <si>
    <t xml:space="preserve">Said by</t>
  </si>
  <si>
    <t xml:space="preserve">Where it resolves</t>
  </si>
  <si>
    <t xml:space="preserve">Validated?</t>
  </si>
  <si>
    <t xml:space="preserve">Disability</t>
  </si>
  <si>
    <t xml:space="preserve">Fill a shift once we've exhausted all internal options</t>
  </si>
  <si>
    <t xml:space="preserve">Dorothy</t>
  </si>
  <si>
    <t xml:space="preserve">Yes</t>
  </si>
  <si>
    <t xml:space="preserve">Location &gt; Bookings &gt; Request</t>
  </si>
  <si>
    <t xml:space="preserve">Hand the shift over to Careforce and get back to my day job</t>
  </si>
  <si>
    <t xml:space="preserve">Elise</t>
  </si>
  <si>
    <t xml:space="preserve">Fill the leftover needs identified at the monthly catch-up with each house manager</t>
  </si>
  <si>
    <t xml:space="preserve">No</t>
  </si>
  <si>
    <t xml:space="preserve">Fill the unplanned shifts that come in through the house managers</t>
  </si>
  <si>
    <t xml:space="preserve">Ask agency for familiar and known staff, and if they don't have anybody, consult the manager on whether unfamiliar is suitable</t>
  </si>
  <si>
    <t xml:space="preserve">Location &gt; Bookings &gt; Request &gt; Select workers</t>
  </si>
  <si>
    <t xml:space="preserve">Get an unfamiliar worker onto the shift a bit earlier for induction</t>
  </si>
  <si>
    <t xml:space="preserve">Ring someone already working on site and ask if they have the capacity to stay</t>
  </si>
  <si>
    <t xml:space="preserve">See no workers available for DY at this time, then other workers who have worked within the region who have availability at this time</t>
  </si>
  <si>
    <t xml:space="preserve">Request a booking without going to a specific day</t>
  </si>
  <si>
    <t xml:space="preserve">Location &gt; Request booking</t>
  </si>
  <si>
    <t xml:space="preserve">Duplicate the same shift</t>
  </si>
  <si>
    <t xml:space="preserve">Tell whether or not a worker is suitable for the site</t>
  </si>
  <si>
    <t xml:space="preserve">Location &gt; Workers</t>
  </si>
  <si>
    <t xml:space="preserve">See that across this region, this worker has worked across all seven sites and done 30 different shifts</t>
  </si>
  <si>
    <t xml:space="preserve">Location &gt; Workers, tier 2</t>
  </si>
  <si>
    <t xml:space="preserve">See how many hours they've worked at CPA, to know are they really new, have they done 2 shifts versus a lot of hours at one site</t>
  </si>
  <si>
    <t xml:space="preserve">See who else in Hireup has also worked in other group homes, so they'd know where plans are kept</t>
  </si>
  <si>
    <t xml:space="preserve">Only see the workers I've had working at my own house</t>
  </si>
  <si>
    <t xml:space="preserve">Location &gt; Workers, tier 1</t>
  </si>
  <si>
    <t xml:space="preserve">See which sites they've been at, as a tick box or colour coded</t>
  </si>
  <si>
    <t xml:space="preserve">Have familiarity of that worker: someone who knows the house, the needs of the clients, roughly what routines are operating that day</t>
  </si>
  <si>
    <t xml:space="preserve">Know their name, their skill set, and what their availabilities are</t>
  </si>
  <si>
    <t xml:space="preserve">Location &gt; Workers, Worker profile</t>
  </si>
  <si>
    <t xml:space="preserve">Highlight a worker I don't know and have their profile pop up</t>
  </si>
  <si>
    <t xml:space="preserve">Go back to the staff in the group home and ask who'd be my best bets to book</t>
  </si>
  <si>
    <t xml:space="preserve">Pick up the phone to other house managers and ask who'd be keen to come across and work a shift</t>
  </si>
  <si>
    <t xml:space="preserve">See which workers we would be using regularly, alongside the feedback the managers are giving</t>
  </si>
  <si>
    <t xml:space="preserve">Grouping &gt; Workers</t>
  </si>
  <si>
    <t xml:space="preserve">Know they're either inducted to the service and can work there, or they're not</t>
  </si>
  <si>
    <t xml:space="preserve">Know whether a worker is coming off an overnight or sleepover shift, or going into 24 hours straight</t>
  </si>
  <si>
    <t xml:space="preserve">Bookings and Select workers, rest signal</t>
  </si>
  <si>
    <t xml:space="preserve">Know whether workers are booking back-to-back bookings</t>
  </si>
  <si>
    <t xml:space="preserve">Trust they've got all their stuff in date: CPR annual, first aid every 3 years, NDIS worker check</t>
  </si>
  <si>
    <t xml:space="preserve">See they've done the medication assessment and been assessed by our fleet coordinator to drive our vehicles</t>
  </si>
  <si>
    <t xml:space="preserve">Know support plans are confirmed, and whether they've been updated and read</t>
  </si>
  <si>
    <t xml:space="preserve">Report an incident, because then it's attached to that worker on that shift</t>
  </si>
  <si>
    <t xml:space="preserve">Location &gt; Bookings &gt; Booking detail</t>
  </si>
  <si>
    <t xml:space="preserve">Know vehicle allowance is enabled, helpful if in an emergency you needed one</t>
  </si>
  <si>
    <t xml:space="preserve">See the messages relating to DY, and any workers we've reached out to that we've wanted to go work at DY</t>
  </si>
  <si>
    <t xml:space="preserve">Location &gt; Messages</t>
  </si>
  <si>
    <t xml:space="preserve">Have a covering manager still be able to action and follow up, and still see what she did when I come back</t>
  </si>
  <si>
    <t xml:space="preserve">See which sites currently have messages pending</t>
  </si>
  <si>
    <t xml:space="preserve">Grouping &gt; Dashboard</t>
  </si>
  <si>
    <t xml:space="preserve">Ask a worker what their experience is and when they're available for a buddy</t>
  </si>
  <si>
    <t xml:space="preserve">Tick these 3 things I want to be notified of, but not the other 6</t>
  </si>
  <si>
    <t xml:space="preserve">Choose the frequency, so I just get those messages Monday, Wednesday, Friday</t>
  </si>
  <si>
    <t xml:space="preserve">See notifications only relating to DY</t>
  </si>
  <si>
    <t xml:space="preserve">Location &gt; Notifications</t>
  </si>
  <si>
    <t xml:space="preserve">See how frequently we are using Hireup</t>
  </si>
  <si>
    <t xml:space="preserve">Know whether that shift is being filled, and whether Ria knows how to manage the risks</t>
  </si>
  <si>
    <t xml:space="preserve">See bookings just for DY</t>
  </si>
  <si>
    <t xml:space="preserve">Location &gt; Bookings</t>
  </si>
  <si>
    <t xml:space="preserve">See who they've got booked in, who their team is, and if there's approvals that need to be made</t>
  </si>
  <si>
    <t xml:space="preserve">Location &gt; Dashboard</t>
  </si>
  <si>
    <t xml:space="preserve">Approve the booking so the worker gets paid</t>
  </si>
  <si>
    <t xml:space="preserve">Location &gt; Dashboard, Bookings</t>
  </si>
  <si>
    <t xml:space="preserve">Have oversight of a group home for a day or two when someone's sick or on leave</t>
  </si>
  <si>
    <t xml:space="preserve">Location switcher</t>
  </si>
  <si>
    <t xml:space="preserve">Go in and confirm a worker's name, or check any messages coming through, when covering short-term leave</t>
  </si>
  <si>
    <t xml:space="preserve">Create the monthly roster from the base master roster, identifying any approved and planned leave</t>
  </si>
  <si>
    <t xml:space="preserve">Talk to the existing team to see if they want to pick up any additional hours</t>
  </si>
  <si>
    <t xml:space="preserve">Catch up with each house manager once a month, two weeks before the roster commences</t>
  </si>
  <si>
    <t xml:space="preserve">Put the client's name in, because that's the specific client we'd be charging this invoice to</t>
  </si>
  <si>
    <t xml:space="preserve">Location &gt; Bookings &gt; Request &gt; Details</t>
  </si>
  <si>
    <t xml:space="preserve">Book somebody for the whole house: a worker to support all the clients on that shift</t>
  </si>
  <si>
    <t xml:space="preserve">Add the agency shifts into our rostering system with basic staff details, so managers know who's coming to site</t>
  </si>
  <si>
    <t xml:space="preserve">Have invoices reviewed and approved by an area manager, then payment through finance</t>
  </si>
  <si>
    <t xml:space="preserve">Stop having to almost copy and paste what I was writing to each individual worker</t>
  </si>
  <si>
    <t xml:space="preserve">Location settings &gt; Location profile</t>
  </si>
  <si>
    <t xml:space="preserve">Let a worker see it's a SIL house in DY, with 5 clients, mostly manual handling or mostly behaviours, and what we're looking for</t>
  </si>
  <si>
    <t xml:space="preserve">Gate it: the setting first, then an I'm interested button, then more detail, then a chat box to the manager</t>
  </si>
  <si>
    <t xml:space="preserve">Help workers distinguish a group home SIL setting from the one-on-one jobs in the middle of the day</t>
  </si>
  <si>
    <t xml:space="preserve">Not share too much information about who's living in our different houses</t>
  </si>
  <si>
    <t xml:space="preserve">Build my team again when it's dwindled from 15 to 3</t>
  </si>
  <si>
    <t xml:space="preserve">Location &gt; Workers, tier 3 and search</t>
  </si>
  <si>
    <t xml:space="preserve">Look at who was in the area, who was open to work</t>
  </si>
  <si>
    <t xml:space="preserve">Location &gt; Workers, tier 3</t>
  </si>
  <si>
    <t xml:space="preserve">Search for workers near me</t>
  </si>
  <si>
    <t xml:space="preserve">Location &gt; Workers, search</t>
  </si>
  <si>
    <t xml:space="preserve">Put up a job so anybody in the area could express their interest</t>
  </si>
  <si>
    <t xml:space="preserve">Send an email saying these are the shifts we need filling, and have them come back with people known to the site</t>
  </si>
  <si>
    <t xml:space="preserve">Have it not be so admin heavy</t>
  </si>
  <si>
    <t xml:space="preserve">Pass the shift to a manager who does have access, when I don't</t>
  </si>
  <si>
    <t xml:space="preserve">Email the provider inbox and request a staff member</t>
  </si>
  <si>
    <t xml:space="preserve">Carlos</t>
  </si>
  <si>
    <t xml:space="preserve">Name a staff member I have in mind and ask them to put them into the portal for me</t>
  </si>
  <si>
    <t xml:space="preserve">Put the shift up using the portal when we cannot provide the staff from Northcott</t>
  </si>
  <si>
    <t xml:space="preserve">Sufi</t>
  </si>
  <si>
    <t xml:space="preserve">Send a large list of shifts for the following 4 weeks and ask them to help cover them</t>
  </si>
  <si>
    <t xml:space="preserve">Fill the shift when a support worker rings at 6 o'clock for a shift starting at 9, the worst nightmare we have</t>
  </si>
  <si>
    <t xml:space="preserve">Take it on at 8 o'clock when the Northcott rostering team hands it over</t>
  </si>
  <si>
    <t xml:space="preserve">Ring back and forth, and contact the Hireup rostering team, to get the shift filled</t>
  </si>
  <si>
    <t xml:space="preserve">Offer vacant shifts to other Northcott support workers first, then to Hireup or any other agency</t>
  </si>
  <si>
    <t xml:space="preserve">Fill shifts that are at least 3 hours</t>
  </si>
  <si>
    <t xml:space="preserve">Offer these jobs to other support workers who may be suitable for the job</t>
  </si>
  <si>
    <t xml:space="preserve">Offer the job to workers who have experience working in the site but haven't done an individual service job</t>
  </si>
  <si>
    <t xml:space="preserve">Offer a shift to more than 10 workers, because out of the 10 maybe 5 are already booked</t>
  </si>
  <si>
    <t xml:space="preserve">Find the support worker in the system, maybe using the search</t>
  </si>
  <si>
    <t xml:space="preserve">Save a worker and have them go into my team list</t>
  </si>
  <si>
    <t xml:space="preserve">Book the shift under the individual service account rather than SIL</t>
  </si>
  <si>
    <t xml:space="preserve">Stop SIL getting charged when the service was actually provided for the individual service</t>
  </si>
  <si>
    <t xml:space="preserve">Ask the Hireup rostering team to shift the booking to the individual service account</t>
  </si>
  <si>
    <t xml:space="preserve">Receive the invoice only for the individual service shifts, since it's segregated</t>
  </si>
  <si>
    <t xml:space="preserve">Follow the SIL master roster in a 4-week schedule and allocate staff who work partially SIL and partially individual service</t>
  </si>
  <si>
    <t xml:space="preserve">Roster support workers up to the service agreement end date</t>
  </si>
  <si>
    <t xml:space="preserve">See that a booking has been made, who has accepted it, and which other support workers it was offered to</t>
  </si>
  <si>
    <t xml:space="preserve">Location &gt; Bookings &gt; Requested booking detail</t>
  </si>
  <si>
    <t xml:space="preserve">Go into the portal just to approve the shift</t>
  </si>
  <si>
    <t xml:space="preserve">Set up my SILs in the portal with a brief description of what we're looking for and the kind of participants at the group home</t>
  </si>
  <si>
    <t xml:space="preserve">Not also have to keep track of workers, message them, push jobs out and wait for responses</t>
  </si>
  <si>
    <t xml:space="preserve">Know what the platform can do, when training was one to one and more than a year ago</t>
  </si>
  <si>
    <t xml:space="preserve">Know a job post exists as an alternative to the booking request</t>
  </si>
  <si>
    <t xml:space="preserve">See a job post show on the dashboard the way a booking request does</t>
  </si>
  <si>
    <t xml:space="preserve">Aged care</t>
  </si>
  <si>
    <t xml:space="preserve">Cover the sickies on a daily basis, business as usual</t>
  </si>
  <si>
    <t xml:space="preserve">Suman</t>
  </si>
  <si>
    <t xml:space="preserve">Client location &gt; Bookings &gt; Request</t>
  </si>
  <si>
    <t xml:space="preserve">Utilise our own resources, and if we cannot fulfil, flick an email to Hireup</t>
  </si>
  <si>
    <t xml:space="preserve">Get manager approval before reaching out to Hireup</t>
  </si>
  <si>
    <t xml:space="preserve">Flick an email to the Hireup internal scheduler, so I could buy some time and do something else</t>
  </si>
  <si>
    <t xml:space="preserve">Make sure all the information is in one email so you don't have to do back and forth</t>
  </si>
  <si>
    <t xml:space="preserve">Have someone booked within 10 minutes</t>
  </si>
  <si>
    <t xml:space="preserve">Identify whether the client has their own group of support workers and see whether one of them is available</t>
  </si>
  <si>
    <t xml:space="preserve">Client location &gt; Workers, tier 1</t>
  </si>
  <si>
    <t xml:space="preserve">Find someone who has been to a client before, so they know the patterns or the routine of the client</t>
  </si>
  <si>
    <t xml:space="preserve">Just randomly ask anybody, if it's domestic assistance</t>
  </si>
  <si>
    <t xml:space="preserve">Client location &gt; Workers, tier 3</t>
  </si>
  <si>
    <t xml:space="preserve">Reach out to a Vic support worker if I need someone in Vic</t>
  </si>
  <si>
    <t xml:space="preserve">Check the support worker has a Certificate III in individual support</t>
  </si>
  <si>
    <t xml:space="preserve">Not see support workers whose mandatory credentials have failed or need renewing</t>
  </si>
  <si>
    <t xml:space="preserve">Not rely on availability in the system, because they may change their mind</t>
  </si>
  <si>
    <t xml:space="preserve">Not worry whether the worker is already booked elsewhere, because the client would be flexible</t>
  </si>
  <si>
    <t xml:space="preserve">Send them the summary of care plan, what to expect during the service, so they're prepared</t>
  </si>
  <si>
    <t xml:space="preserve">Send associated risks, allergies, medication, the service instruction, and whether the client has pets in the house</t>
  </si>
  <si>
    <t xml:space="preserve">Provide the phone number in every request, in case there's no response to the home visit</t>
  </si>
  <si>
    <t xml:space="preserve">Message them through the Hireup portal</t>
  </si>
  <si>
    <t xml:space="preserve">Client location &gt; Messages</t>
  </si>
  <si>
    <t xml:space="preserve">See whether any workers have responded</t>
  </si>
  <si>
    <t xml:space="preserve">Client location &gt; Bookings, Messages</t>
  </si>
  <si>
    <t xml:space="preserve">Send a group message when there are quite a few shifts available</t>
  </si>
  <si>
    <t xml:space="preserve">Have visibility of other regions and jump in when they don't have enough rostering officers</t>
  </si>
  <si>
    <t xml:space="preserve">Action a task that came through from a care manager, by its due date</t>
  </si>
  <si>
    <t xml:space="preserve">Reach out to the rostering lead when we couldn't understand or needed some help</t>
  </si>
  <si>
    <t xml:space="preserve">Make sure the master roster is okay and all the leaves are covered, a fortnight or a month ahead</t>
  </si>
  <si>
    <t xml:space="preserve">Cover the reactive space from 3 to 5, once the reactive officer finishes</t>
  </si>
  <si>
    <t xml:space="preserve">Know how fast the agency response is, the most important one</t>
  </si>
  <si>
    <t xml:space="preserve">Have a fast track to send a service request to a bunch of support workers within a couple of minutes</t>
  </si>
  <si>
    <t xml:space="preserve">Attend the training to see what we can learn about how to use it</t>
  </si>
  <si>
    <t xml:space="preserve">Not worry about budget remaining, because we're not creating a new service, just filling an existing one</t>
  </si>
  <si>
    <t xml:space="preserve">Job wording uses the participant's own terms of phrase from the transcripts. 'IA relevant' marks jobs that bear on where things live in the product. 'Where it resolves' is blank where the prototype does not address the job. Yellow columns are for you.</t>
  </si>
</sst>
</file>

<file path=xl/styles.xml><?xml version="1.0" encoding="utf-8"?>
<styleSheet xmlns="http://schemas.openxmlformats.org/spreadsheetml/2006/main">
  <numFmts count="2">
    <numFmt numFmtId="164" formatCode="General"/>
    <numFmt numFmtId="165" formatCode="General"/>
  </numFmts>
  <fonts count="11">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i val="true"/>
      <sz val="9"/>
      <name val="Arial"/>
      <family val="0"/>
      <charset val="1"/>
    </font>
    <font>
      <b val="true"/>
      <sz val="11"/>
      <name val="Arial"/>
      <family val="0"/>
      <charset val="1"/>
    </font>
    <font>
      <b val="true"/>
      <sz val="10"/>
      <color rgb="FFFFFFFF"/>
      <name val="Arial"/>
      <family val="0"/>
      <charset val="1"/>
    </font>
    <font>
      <b val="true"/>
      <sz val="10"/>
      <name val="Arial"/>
      <family val="0"/>
      <charset val="1"/>
    </font>
    <font>
      <sz val="10"/>
      <name val="Arial"/>
      <family val="0"/>
      <charset val="1"/>
    </font>
    <font>
      <sz val="10"/>
      <color rgb="FF0000FF"/>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FFFFCC"/>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5" fontId="9" fillId="0"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center"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center" vertical="top" textRotation="0" wrapText="true" indent="0" shrinkToFit="false"/>
      <protection locked="true" hidden="false"/>
    </xf>
    <xf numFmtId="164" fontId="10" fillId="3"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FFFCC"/>
          <bgColor rgb="FF000000"/>
        </patternFill>
      </fill>
    </dxf>
    <dxf>
      <fill>
        <patternFill patternType="solid">
          <fgColor rgb="FF0000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4" min="2" style="0" width="13"/>
    <col collapsed="false" customWidth="true" hidden="false" outlineLevel="0" max="5" min="5" style="0" width="30"/>
    <col collapsed="false" customWidth="true" hidden="false" outlineLevel="0" max="6" min="6" style="0" width="10"/>
  </cols>
  <sheetData>
    <row r="1" customFormat="false" ht="16.1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E4" s="3" t="s">
        <v>3</v>
      </c>
    </row>
    <row r="5" customFormat="false" ht="15" hidden="false" customHeight="false" outlineLevel="0" collapsed="false">
      <c r="A5" s="4" t="s">
        <v>4</v>
      </c>
      <c r="B5" s="4" t="s">
        <v>5</v>
      </c>
      <c r="C5" s="4" t="s">
        <v>6</v>
      </c>
      <c r="E5" s="4" t="s">
        <v>7</v>
      </c>
      <c r="F5" s="4" t="s">
        <v>5</v>
      </c>
    </row>
    <row r="6" customFormat="false" ht="15" hidden="false" customHeight="false" outlineLevel="0" collapsed="false">
      <c r="A6" s="5" t="s">
        <v>8</v>
      </c>
      <c r="B6" s="6" t="n">
        <f aca="false">COUNTIF('Jobs to be done'!$A:$A,$A6)</f>
        <v>63</v>
      </c>
      <c r="C6" s="6" t="n">
        <f aca="false">COUNTIFS('Jobs to be done'!$A:$A,$A6,'Jobs to be done'!$F:$F,"Yes")</f>
        <v>39</v>
      </c>
      <c r="E6" s="6" t="s">
        <v>9</v>
      </c>
      <c r="F6" s="6" t="n">
        <f aca="false">COUNTIF('Jobs to be done'!$C:$C,$E6)</f>
        <v>25</v>
      </c>
    </row>
    <row r="7" customFormat="false" ht="15" hidden="false" customHeight="false" outlineLevel="0" collapsed="false">
      <c r="A7" s="5" t="s">
        <v>10</v>
      </c>
      <c r="B7" s="6" t="n">
        <f aca="false">COUNTIF('Jobs to be done'!$A:$A,$A7)</f>
        <v>27</v>
      </c>
      <c r="C7" s="6" t="n">
        <f aca="false">COUNTIFS('Jobs to be done'!$A:$A,$A7,'Jobs to be done'!$F:$F,"Yes")</f>
        <v>16</v>
      </c>
      <c r="E7" s="6" t="s">
        <v>11</v>
      </c>
      <c r="F7" s="6" t="n">
        <f aca="false">COUNTIF('Jobs to be done'!$C:$C,$E7)</f>
        <v>26</v>
      </c>
    </row>
    <row r="8" customFormat="false" ht="15" hidden="false" customHeight="false" outlineLevel="0" collapsed="false">
      <c r="A8" s="5" t="s">
        <v>12</v>
      </c>
      <c r="B8" s="6" t="n">
        <f aca="false">COUNTIF('Jobs to be done'!$A:$A,$A8)</f>
        <v>29</v>
      </c>
      <c r="C8" s="6" t="n">
        <f aca="false">COUNTIFS('Jobs to be done'!$A:$A,$A8,'Jobs to be done'!$F:$F,"Yes")</f>
        <v>15</v>
      </c>
      <c r="E8" s="6" t="s">
        <v>13</v>
      </c>
      <c r="F8" s="6" t="n">
        <f aca="false">COUNTIF('Jobs to be done'!$C:$C,$E8)</f>
        <v>7</v>
      </c>
    </row>
    <row r="9" customFormat="false" ht="15" hidden="false" customHeight="false" outlineLevel="0" collapsed="false">
      <c r="A9" s="5" t="s">
        <v>14</v>
      </c>
      <c r="B9" s="5" t="n">
        <f aca="false">SUM(B6:B8)</f>
        <v>119</v>
      </c>
      <c r="C9" s="5" t="n">
        <f aca="false">SUM(C6:C8)</f>
        <v>70</v>
      </c>
      <c r="E9" s="6" t="s">
        <v>15</v>
      </c>
      <c r="F9" s="6" t="n">
        <f aca="false">COUNTIF('Jobs to be done'!$C:$C,$E9)</f>
        <v>10</v>
      </c>
    </row>
    <row r="10" customFormat="false" ht="15" hidden="false" customHeight="false" outlineLevel="0" collapsed="false">
      <c r="E10" s="6" t="s">
        <v>16</v>
      </c>
      <c r="F10" s="6" t="n">
        <f aca="false">COUNTIF('Jobs to be done'!$C:$C,$E10)</f>
        <v>3</v>
      </c>
    </row>
    <row r="11" customFormat="false" ht="15" hidden="false" customHeight="false" outlineLevel="0" collapsed="false">
      <c r="A11" s="3" t="s">
        <v>17</v>
      </c>
      <c r="E11" s="6" t="s">
        <v>18</v>
      </c>
      <c r="F11" s="6" t="n">
        <f aca="false">COUNTIF('Jobs to be done'!$C:$C,$E11)</f>
        <v>12</v>
      </c>
    </row>
    <row r="12" customFormat="false" ht="25.5" hidden="false" customHeight="true" outlineLevel="0" collapsed="false">
      <c r="A12" s="7" t="s">
        <v>19</v>
      </c>
      <c r="E12" s="6" t="s">
        <v>20</v>
      </c>
      <c r="F12" s="6" t="n">
        <f aca="false">COUNTIF('Jobs to be done'!$C:$C,$E12)</f>
        <v>7</v>
      </c>
    </row>
    <row r="13" customFormat="false" ht="25.5" hidden="false" customHeight="true" outlineLevel="0" collapsed="false">
      <c r="A13" s="7" t="s">
        <v>21</v>
      </c>
      <c r="E13" s="6" t="s">
        <v>22</v>
      </c>
      <c r="F13" s="6" t="n">
        <f aca="false">COUNTIF('Jobs to be done'!$C:$C,$E13)</f>
        <v>8</v>
      </c>
    </row>
    <row r="14" customFormat="false" ht="25.5" hidden="false" customHeight="true" outlineLevel="0" collapsed="false">
      <c r="A14" s="7" t="s">
        <v>23</v>
      </c>
      <c r="E14" s="6" t="s">
        <v>24</v>
      </c>
      <c r="F14" s="6" t="n">
        <f aca="false">COUNTIF('Jobs to be done'!$C:$C,$E14)</f>
        <v>7</v>
      </c>
    </row>
    <row r="15" customFormat="false" ht="25.5" hidden="false" customHeight="true" outlineLevel="0" collapsed="false">
      <c r="A15" s="7" t="s">
        <v>25</v>
      </c>
      <c r="E15" s="6" t="s">
        <v>26</v>
      </c>
      <c r="F15" s="6" t="n">
        <f aca="false">COUNTIF('Jobs to be done'!$C:$C,$E15)</f>
        <v>4</v>
      </c>
    </row>
    <row r="16" customFormat="false" ht="25.5" hidden="false" customHeight="true" outlineLevel="0" collapsed="false">
      <c r="A16" s="7" t="s">
        <v>27</v>
      </c>
      <c r="E16" s="6" t="s">
        <v>28</v>
      </c>
      <c r="F16" s="6" t="n">
        <f aca="false">COUNTIF('Jobs to be done'!$C:$C,$E16)</f>
        <v>3</v>
      </c>
    </row>
    <row r="17" customFormat="false" ht="15" hidden="false" customHeight="false" outlineLevel="0" collapsed="false">
      <c r="E17" s="6" t="s">
        <v>29</v>
      </c>
      <c r="F17" s="6" t="n">
        <f aca="false">COUNTIF('Jobs to be done'!$C:$C,$E17)</f>
        <v>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0"/>
    <col collapsed="false" customWidth="true" hidden="false" outlineLevel="0" max="3" min="3" style="0" width="22"/>
    <col collapsed="false" customWidth="true" hidden="false" outlineLevel="0" max="4" min="4" style="0" width="60"/>
    <col collapsed="false" customWidth="true" hidden="false" outlineLevel="0" max="5" min="5" style="0" width="11"/>
    <col collapsed="false" customWidth="true" hidden="false" outlineLevel="0" max="6" min="6" style="0" width="12"/>
    <col collapsed="false" customWidth="true" hidden="false" outlineLevel="0" max="7" min="7" style="0" width="34"/>
    <col collapsed="false" customWidth="true" hidden="false" outlineLevel="0" max="8" min="8" style="0" width="12"/>
    <col collapsed="false" customWidth="true" hidden="false" outlineLevel="0" max="9" min="9" style="0" width="26"/>
  </cols>
  <sheetData>
    <row r="1" customFormat="false" ht="15" hidden="false" customHeight="false" outlineLevel="0" collapsed="false">
      <c r="A1" s="8" t="s">
        <v>4</v>
      </c>
      <c r="B1" s="8" t="s">
        <v>30</v>
      </c>
      <c r="C1" s="8" t="s">
        <v>7</v>
      </c>
      <c r="D1" s="8" t="s">
        <v>31</v>
      </c>
      <c r="E1" s="8" t="s">
        <v>32</v>
      </c>
      <c r="F1" s="9" t="s">
        <v>6</v>
      </c>
      <c r="G1" s="8" t="s">
        <v>33</v>
      </c>
      <c r="H1" s="9" t="s">
        <v>34</v>
      </c>
      <c r="I1" s="9" t="s">
        <v>17</v>
      </c>
    </row>
    <row r="2" customFormat="false" ht="33.75" hidden="false" customHeight="true" outlineLevel="0" collapsed="false">
      <c r="A2" s="10" t="s">
        <v>8</v>
      </c>
      <c r="B2" s="11" t="s">
        <v>35</v>
      </c>
      <c r="C2" s="11" t="s">
        <v>9</v>
      </c>
      <c r="D2" s="11" t="s">
        <v>36</v>
      </c>
      <c r="E2" s="11" t="s">
        <v>37</v>
      </c>
      <c r="F2" s="12" t="s">
        <v>38</v>
      </c>
      <c r="G2" s="11" t="s">
        <v>39</v>
      </c>
      <c r="H2" s="13"/>
      <c r="I2" s="13"/>
    </row>
    <row r="3" customFormat="false" ht="33.75" hidden="false" customHeight="true" outlineLevel="0" collapsed="false">
      <c r="A3" s="10" t="s">
        <v>8</v>
      </c>
      <c r="B3" s="11" t="s">
        <v>35</v>
      </c>
      <c r="C3" s="11" t="s">
        <v>9</v>
      </c>
      <c r="D3" s="11" t="s">
        <v>40</v>
      </c>
      <c r="E3" s="11" t="s">
        <v>41</v>
      </c>
      <c r="F3" s="12" t="s">
        <v>38</v>
      </c>
      <c r="G3" s="11"/>
      <c r="H3" s="13"/>
      <c r="I3" s="13"/>
    </row>
    <row r="4" customFormat="false" ht="33.75" hidden="false" customHeight="true" outlineLevel="0" collapsed="false">
      <c r="A4" s="10" t="s">
        <v>8</v>
      </c>
      <c r="B4" s="11" t="s">
        <v>35</v>
      </c>
      <c r="C4" s="11" t="s">
        <v>9</v>
      </c>
      <c r="D4" s="11" t="s">
        <v>42</v>
      </c>
      <c r="E4" s="11" t="s">
        <v>41</v>
      </c>
      <c r="F4" s="12" t="s">
        <v>43</v>
      </c>
      <c r="G4" s="11"/>
      <c r="H4" s="13"/>
      <c r="I4" s="13"/>
    </row>
    <row r="5" customFormat="false" ht="33.75" hidden="false" customHeight="true" outlineLevel="0" collapsed="false">
      <c r="A5" s="10" t="s">
        <v>8</v>
      </c>
      <c r="B5" s="11" t="s">
        <v>35</v>
      </c>
      <c r="C5" s="11" t="s">
        <v>9</v>
      </c>
      <c r="D5" s="11" t="s">
        <v>44</v>
      </c>
      <c r="E5" s="11" t="s">
        <v>41</v>
      </c>
      <c r="F5" s="12" t="s">
        <v>38</v>
      </c>
      <c r="G5" s="11" t="s">
        <v>39</v>
      </c>
      <c r="H5" s="13"/>
      <c r="I5" s="13"/>
    </row>
    <row r="6" customFormat="false" ht="33.75" hidden="false" customHeight="true" outlineLevel="0" collapsed="false">
      <c r="A6" s="10" t="s">
        <v>8</v>
      </c>
      <c r="B6" s="11" t="s">
        <v>35</v>
      </c>
      <c r="C6" s="11" t="s">
        <v>9</v>
      </c>
      <c r="D6" s="11" t="s">
        <v>45</v>
      </c>
      <c r="E6" s="11" t="s">
        <v>41</v>
      </c>
      <c r="F6" s="12" t="s">
        <v>38</v>
      </c>
      <c r="G6" s="11" t="s">
        <v>46</v>
      </c>
      <c r="H6" s="13"/>
      <c r="I6" s="13"/>
    </row>
    <row r="7" customFormat="false" ht="33.75" hidden="false" customHeight="true" outlineLevel="0" collapsed="false">
      <c r="A7" s="10" t="s">
        <v>8</v>
      </c>
      <c r="B7" s="11" t="s">
        <v>35</v>
      </c>
      <c r="C7" s="11" t="s">
        <v>9</v>
      </c>
      <c r="D7" s="11" t="s">
        <v>47</v>
      </c>
      <c r="E7" s="11" t="s">
        <v>41</v>
      </c>
      <c r="F7" s="12" t="s">
        <v>43</v>
      </c>
      <c r="G7" s="11"/>
      <c r="H7" s="13"/>
      <c r="I7" s="13"/>
    </row>
    <row r="8" customFormat="false" ht="33.75" hidden="false" customHeight="true" outlineLevel="0" collapsed="false">
      <c r="A8" s="10" t="s">
        <v>8</v>
      </c>
      <c r="B8" s="11" t="s">
        <v>35</v>
      </c>
      <c r="C8" s="11" t="s">
        <v>9</v>
      </c>
      <c r="D8" s="11" t="s">
        <v>48</v>
      </c>
      <c r="E8" s="11" t="s">
        <v>41</v>
      </c>
      <c r="F8" s="12" t="s">
        <v>43</v>
      </c>
      <c r="G8" s="11"/>
      <c r="H8" s="13"/>
      <c r="I8" s="13"/>
    </row>
    <row r="9" customFormat="false" ht="33.75" hidden="false" customHeight="true" outlineLevel="0" collapsed="false">
      <c r="A9" s="10" t="s">
        <v>8</v>
      </c>
      <c r="B9" s="11" t="s">
        <v>35</v>
      </c>
      <c r="C9" s="11" t="s">
        <v>9</v>
      </c>
      <c r="D9" s="11" t="s">
        <v>49</v>
      </c>
      <c r="E9" s="11" t="s">
        <v>37</v>
      </c>
      <c r="F9" s="12" t="s">
        <v>38</v>
      </c>
      <c r="G9" s="11" t="s">
        <v>46</v>
      </c>
      <c r="H9" s="13"/>
      <c r="I9" s="13"/>
    </row>
    <row r="10" customFormat="false" ht="33.75" hidden="false" customHeight="true" outlineLevel="0" collapsed="false">
      <c r="A10" s="10" t="s">
        <v>8</v>
      </c>
      <c r="B10" s="11" t="s">
        <v>35</v>
      </c>
      <c r="C10" s="11" t="s">
        <v>9</v>
      </c>
      <c r="D10" s="11" t="s">
        <v>50</v>
      </c>
      <c r="E10" s="11" t="s">
        <v>37</v>
      </c>
      <c r="F10" s="12" t="s">
        <v>38</v>
      </c>
      <c r="G10" s="11" t="s">
        <v>51</v>
      </c>
      <c r="H10" s="13"/>
      <c r="I10" s="13"/>
    </row>
    <row r="11" customFormat="false" ht="33.75" hidden="false" customHeight="true" outlineLevel="0" collapsed="false">
      <c r="A11" s="10" t="s">
        <v>8</v>
      </c>
      <c r="B11" s="11" t="s">
        <v>35</v>
      </c>
      <c r="C11" s="11" t="s">
        <v>9</v>
      </c>
      <c r="D11" s="11" t="s">
        <v>52</v>
      </c>
      <c r="E11" s="11" t="s">
        <v>37</v>
      </c>
      <c r="F11" s="12" t="s">
        <v>43</v>
      </c>
      <c r="G11" s="11"/>
      <c r="H11" s="13"/>
      <c r="I11" s="13"/>
    </row>
    <row r="12" customFormat="false" ht="33.75" hidden="false" customHeight="true" outlineLevel="0" collapsed="false">
      <c r="A12" s="10" t="s">
        <v>8</v>
      </c>
      <c r="B12" s="11" t="s">
        <v>35</v>
      </c>
      <c r="C12" s="11" t="s">
        <v>11</v>
      </c>
      <c r="D12" s="11" t="s">
        <v>53</v>
      </c>
      <c r="E12" s="11" t="s">
        <v>37</v>
      </c>
      <c r="F12" s="12" t="s">
        <v>38</v>
      </c>
      <c r="G12" s="11" t="s">
        <v>54</v>
      </c>
      <c r="H12" s="13"/>
      <c r="I12" s="13"/>
    </row>
    <row r="13" customFormat="false" ht="33.75" hidden="false" customHeight="true" outlineLevel="0" collapsed="false">
      <c r="A13" s="10" t="s">
        <v>8</v>
      </c>
      <c r="B13" s="11" t="s">
        <v>35</v>
      </c>
      <c r="C13" s="11" t="s">
        <v>11</v>
      </c>
      <c r="D13" s="11" t="s">
        <v>55</v>
      </c>
      <c r="E13" s="11" t="s">
        <v>37</v>
      </c>
      <c r="F13" s="12" t="s">
        <v>38</v>
      </c>
      <c r="G13" s="11" t="s">
        <v>56</v>
      </c>
      <c r="H13" s="13"/>
      <c r="I13" s="13"/>
    </row>
    <row r="14" customFormat="false" ht="33.75" hidden="false" customHeight="true" outlineLevel="0" collapsed="false">
      <c r="A14" s="10" t="s">
        <v>8</v>
      </c>
      <c r="B14" s="11" t="s">
        <v>35</v>
      </c>
      <c r="C14" s="11" t="s">
        <v>11</v>
      </c>
      <c r="D14" s="11" t="s">
        <v>57</v>
      </c>
      <c r="E14" s="11" t="s">
        <v>41</v>
      </c>
      <c r="F14" s="12" t="s">
        <v>38</v>
      </c>
      <c r="G14" s="11" t="s">
        <v>54</v>
      </c>
      <c r="H14" s="13"/>
      <c r="I14" s="13"/>
    </row>
    <row r="15" customFormat="false" ht="33.75" hidden="false" customHeight="true" outlineLevel="0" collapsed="false">
      <c r="A15" s="10" t="s">
        <v>8</v>
      </c>
      <c r="B15" s="11" t="s">
        <v>35</v>
      </c>
      <c r="C15" s="11" t="s">
        <v>11</v>
      </c>
      <c r="D15" s="11" t="s">
        <v>58</v>
      </c>
      <c r="E15" s="11" t="s">
        <v>37</v>
      </c>
      <c r="F15" s="12" t="s">
        <v>38</v>
      </c>
      <c r="G15" s="11" t="s">
        <v>56</v>
      </c>
      <c r="H15" s="13"/>
      <c r="I15" s="13"/>
    </row>
    <row r="16" customFormat="false" ht="33.75" hidden="false" customHeight="true" outlineLevel="0" collapsed="false">
      <c r="A16" s="10" t="s">
        <v>8</v>
      </c>
      <c r="B16" s="11" t="s">
        <v>35</v>
      </c>
      <c r="C16" s="11" t="s">
        <v>11</v>
      </c>
      <c r="D16" s="11" t="s">
        <v>59</v>
      </c>
      <c r="E16" s="11" t="s">
        <v>37</v>
      </c>
      <c r="F16" s="12" t="s">
        <v>38</v>
      </c>
      <c r="G16" s="11" t="s">
        <v>60</v>
      </c>
      <c r="H16" s="13"/>
      <c r="I16" s="13"/>
    </row>
    <row r="17" customFormat="false" ht="33.75" hidden="false" customHeight="true" outlineLevel="0" collapsed="false">
      <c r="A17" s="10" t="s">
        <v>8</v>
      </c>
      <c r="B17" s="11" t="s">
        <v>35</v>
      </c>
      <c r="C17" s="11" t="s">
        <v>11</v>
      </c>
      <c r="D17" s="11" t="s">
        <v>61</v>
      </c>
      <c r="E17" s="11" t="s">
        <v>37</v>
      </c>
      <c r="F17" s="12" t="s">
        <v>38</v>
      </c>
      <c r="G17" s="11" t="s">
        <v>56</v>
      </c>
      <c r="H17" s="13"/>
      <c r="I17" s="13"/>
    </row>
    <row r="18" customFormat="false" ht="33.75" hidden="false" customHeight="true" outlineLevel="0" collapsed="false">
      <c r="A18" s="10" t="s">
        <v>8</v>
      </c>
      <c r="B18" s="11" t="s">
        <v>35</v>
      </c>
      <c r="C18" s="11" t="s">
        <v>11</v>
      </c>
      <c r="D18" s="11" t="s">
        <v>62</v>
      </c>
      <c r="E18" s="11" t="s">
        <v>37</v>
      </c>
      <c r="F18" s="12" t="s">
        <v>38</v>
      </c>
      <c r="G18" s="11" t="s">
        <v>60</v>
      </c>
      <c r="H18" s="13"/>
      <c r="I18" s="13"/>
    </row>
    <row r="19" customFormat="false" ht="33.75" hidden="false" customHeight="true" outlineLevel="0" collapsed="false">
      <c r="A19" s="10" t="s">
        <v>8</v>
      </c>
      <c r="B19" s="11" t="s">
        <v>35</v>
      </c>
      <c r="C19" s="11" t="s">
        <v>11</v>
      </c>
      <c r="D19" s="11" t="s">
        <v>63</v>
      </c>
      <c r="E19" s="11" t="s">
        <v>37</v>
      </c>
      <c r="F19" s="12" t="s">
        <v>38</v>
      </c>
      <c r="G19" s="11" t="s">
        <v>64</v>
      </c>
      <c r="H19" s="13"/>
      <c r="I19" s="13"/>
    </row>
    <row r="20" customFormat="false" ht="33.75" hidden="false" customHeight="true" outlineLevel="0" collapsed="false">
      <c r="A20" s="10" t="s">
        <v>8</v>
      </c>
      <c r="B20" s="11" t="s">
        <v>35</v>
      </c>
      <c r="C20" s="11" t="s">
        <v>11</v>
      </c>
      <c r="D20" s="11" t="s">
        <v>65</v>
      </c>
      <c r="E20" s="11" t="s">
        <v>37</v>
      </c>
      <c r="F20" s="12" t="s">
        <v>43</v>
      </c>
      <c r="G20" s="11"/>
      <c r="H20" s="13"/>
      <c r="I20" s="13"/>
    </row>
    <row r="21" customFormat="false" ht="33.75" hidden="false" customHeight="true" outlineLevel="0" collapsed="false">
      <c r="A21" s="10" t="s">
        <v>8</v>
      </c>
      <c r="B21" s="11" t="s">
        <v>35</v>
      </c>
      <c r="C21" s="11" t="s">
        <v>11</v>
      </c>
      <c r="D21" s="11" t="s">
        <v>66</v>
      </c>
      <c r="E21" s="11" t="s">
        <v>37</v>
      </c>
      <c r="F21" s="12" t="s">
        <v>43</v>
      </c>
      <c r="G21" s="11"/>
      <c r="H21" s="13"/>
      <c r="I21" s="13"/>
    </row>
    <row r="22" customFormat="false" ht="33.75" hidden="false" customHeight="true" outlineLevel="0" collapsed="false">
      <c r="A22" s="10" t="s">
        <v>8</v>
      </c>
      <c r="B22" s="11" t="s">
        <v>35</v>
      </c>
      <c r="C22" s="11" t="s">
        <v>11</v>
      </c>
      <c r="D22" s="11" t="s">
        <v>67</v>
      </c>
      <c r="E22" s="11" t="s">
        <v>37</v>
      </c>
      <c r="F22" s="12" t="s">
        <v>38</v>
      </c>
      <c r="G22" s="11" t="s">
        <v>56</v>
      </c>
      <c r="H22" s="13"/>
      <c r="I22" s="13"/>
    </row>
    <row r="23" customFormat="false" ht="33.75" hidden="false" customHeight="true" outlineLevel="0" collapsed="false">
      <c r="A23" s="10" t="s">
        <v>8</v>
      </c>
      <c r="B23" s="11" t="s">
        <v>35</v>
      </c>
      <c r="C23" s="11" t="s">
        <v>11</v>
      </c>
      <c r="D23" s="11" t="s">
        <v>68</v>
      </c>
      <c r="E23" s="11" t="s">
        <v>37</v>
      </c>
      <c r="F23" s="12" t="s">
        <v>38</v>
      </c>
      <c r="G23" s="11" t="s">
        <v>69</v>
      </c>
      <c r="H23" s="13"/>
      <c r="I23" s="13"/>
    </row>
    <row r="24" customFormat="false" ht="33.75" hidden="false" customHeight="true" outlineLevel="0" collapsed="false">
      <c r="A24" s="10" t="s">
        <v>8</v>
      </c>
      <c r="B24" s="11" t="s">
        <v>35</v>
      </c>
      <c r="C24" s="11" t="s">
        <v>11</v>
      </c>
      <c r="D24" s="11" t="s">
        <v>70</v>
      </c>
      <c r="E24" s="11" t="s">
        <v>41</v>
      </c>
      <c r="F24" s="12" t="s">
        <v>38</v>
      </c>
      <c r="G24" s="11"/>
      <c r="H24" s="13"/>
      <c r="I24" s="13"/>
    </row>
    <row r="25" customFormat="false" ht="33.75" hidden="false" customHeight="true" outlineLevel="0" collapsed="false">
      <c r="A25" s="10" t="s">
        <v>8</v>
      </c>
      <c r="B25" s="11" t="s">
        <v>35</v>
      </c>
      <c r="C25" s="11" t="s">
        <v>13</v>
      </c>
      <c r="D25" s="11" t="s">
        <v>71</v>
      </c>
      <c r="E25" s="11" t="s">
        <v>37</v>
      </c>
      <c r="F25" s="12" t="s">
        <v>38</v>
      </c>
      <c r="G25" s="11" t="s">
        <v>72</v>
      </c>
      <c r="H25" s="13"/>
      <c r="I25" s="13"/>
    </row>
    <row r="26" customFormat="false" ht="33.75" hidden="false" customHeight="true" outlineLevel="0" collapsed="false">
      <c r="A26" s="10" t="s">
        <v>8</v>
      </c>
      <c r="B26" s="11" t="s">
        <v>35</v>
      </c>
      <c r="C26" s="11" t="s">
        <v>13</v>
      </c>
      <c r="D26" s="11" t="s">
        <v>73</v>
      </c>
      <c r="E26" s="11" t="s">
        <v>37</v>
      </c>
      <c r="F26" s="12" t="s">
        <v>38</v>
      </c>
      <c r="G26" s="11" t="s">
        <v>72</v>
      </c>
      <c r="H26" s="13"/>
      <c r="I26" s="13"/>
    </row>
    <row r="27" customFormat="false" ht="33.75" hidden="false" customHeight="true" outlineLevel="0" collapsed="false">
      <c r="A27" s="10" t="s">
        <v>8</v>
      </c>
      <c r="B27" s="11" t="s">
        <v>35</v>
      </c>
      <c r="C27" s="11" t="s">
        <v>13</v>
      </c>
      <c r="D27" s="11" t="s">
        <v>74</v>
      </c>
      <c r="E27" s="11" t="s">
        <v>41</v>
      </c>
      <c r="F27" s="12" t="s">
        <v>43</v>
      </c>
      <c r="G27" s="11"/>
      <c r="H27" s="13"/>
      <c r="I27" s="13"/>
    </row>
    <row r="28" customFormat="false" ht="33.75" hidden="false" customHeight="true" outlineLevel="0" collapsed="false">
      <c r="A28" s="10" t="s">
        <v>8</v>
      </c>
      <c r="B28" s="11" t="s">
        <v>35</v>
      </c>
      <c r="C28" s="11" t="s">
        <v>13</v>
      </c>
      <c r="D28" s="11" t="s">
        <v>75</v>
      </c>
      <c r="E28" s="11" t="s">
        <v>41</v>
      </c>
      <c r="F28" s="12" t="s">
        <v>38</v>
      </c>
      <c r="G28" s="11" t="s">
        <v>54</v>
      </c>
      <c r="H28" s="13"/>
      <c r="I28" s="13"/>
    </row>
    <row r="29" customFormat="false" ht="33.75" hidden="false" customHeight="true" outlineLevel="0" collapsed="false">
      <c r="A29" s="10" t="s">
        <v>8</v>
      </c>
      <c r="B29" s="11" t="s">
        <v>35</v>
      </c>
      <c r="C29" s="11" t="s">
        <v>13</v>
      </c>
      <c r="D29" s="11" t="s">
        <v>76</v>
      </c>
      <c r="E29" s="11" t="s">
        <v>37</v>
      </c>
      <c r="F29" s="12" t="s">
        <v>38</v>
      </c>
      <c r="G29" s="11" t="s">
        <v>54</v>
      </c>
      <c r="H29" s="13"/>
      <c r="I29" s="13"/>
    </row>
    <row r="30" customFormat="false" ht="33.75" hidden="false" customHeight="true" outlineLevel="0" collapsed="false">
      <c r="A30" s="10" t="s">
        <v>8</v>
      </c>
      <c r="B30" s="11" t="s">
        <v>35</v>
      </c>
      <c r="C30" s="11" t="s">
        <v>13</v>
      </c>
      <c r="D30" s="11" t="s">
        <v>77</v>
      </c>
      <c r="E30" s="11" t="s">
        <v>37</v>
      </c>
      <c r="F30" s="12" t="s">
        <v>38</v>
      </c>
      <c r="G30" s="11" t="s">
        <v>78</v>
      </c>
      <c r="H30" s="13"/>
      <c r="I30" s="13"/>
    </row>
    <row r="31" customFormat="false" ht="33.75" hidden="false" customHeight="true" outlineLevel="0" collapsed="false">
      <c r="A31" s="10" t="s">
        <v>8</v>
      </c>
      <c r="B31" s="11" t="s">
        <v>35</v>
      </c>
      <c r="C31" s="11" t="s">
        <v>13</v>
      </c>
      <c r="D31" s="11" t="s">
        <v>79</v>
      </c>
      <c r="E31" s="11" t="s">
        <v>37</v>
      </c>
      <c r="F31" s="12" t="s">
        <v>43</v>
      </c>
      <c r="G31" s="11"/>
      <c r="H31" s="13"/>
      <c r="I31" s="13"/>
    </row>
    <row r="32" customFormat="false" ht="33.75" hidden="false" customHeight="true" outlineLevel="0" collapsed="false">
      <c r="A32" s="10" t="s">
        <v>8</v>
      </c>
      <c r="B32" s="11" t="s">
        <v>35</v>
      </c>
      <c r="C32" s="11" t="s">
        <v>15</v>
      </c>
      <c r="D32" s="11" t="s">
        <v>80</v>
      </c>
      <c r="E32" s="11" t="s">
        <v>37</v>
      </c>
      <c r="F32" s="12" t="s">
        <v>38</v>
      </c>
      <c r="G32" s="11" t="s">
        <v>81</v>
      </c>
      <c r="H32" s="13"/>
      <c r="I32" s="13"/>
    </row>
    <row r="33" customFormat="false" ht="33.75" hidden="false" customHeight="true" outlineLevel="0" collapsed="false">
      <c r="A33" s="10" t="s">
        <v>8</v>
      </c>
      <c r="B33" s="11" t="s">
        <v>35</v>
      </c>
      <c r="C33" s="11" t="s">
        <v>15</v>
      </c>
      <c r="D33" s="11" t="s">
        <v>82</v>
      </c>
      <c r="E33" s="11" t="s">
        <v>37</v>
      </c>
      <c r="F33" s="12" t="s">
        <v>38</v>
      </c>
      <c r="G33" s="11" t="s">
        <v>81</v>
      </c>
      <c r="H33" s="13"/>
      <c r="I33" s="13"/>
    </row>
    <row r="34" customFormat="false" ht="33.75" hidden="false" customHeight="true" outlineLevel="0" collapsed="false">
      <c r="A34" s="10" t="s">
        <v>8</v>
      </c>
      <c r="B34" s="11" t="s">
        <v>35</v>
      </c>
      <c r="C34" s="11" t="s">
        <v>15</v>
      </c>
      <c r="D34" s="11" t="s">
        <v>83</v>
      </c>
      <c r="E34" s="11" t="s">
        <v>37</v>
      </c>
      <c r="F34" s="12" t="s">
        <v>38</v>
      </c>
      <c r="G34" s="11" t="s">
        <v>84</v>
      </c>
      <c r="H34" s="13"/>
      <c r="I34" s="13"/>
    </row>
    <row r="35" customFormat="false" ht="33.75" hidden="false" customHeight="true" outlineLevel="0" collapsed="false">
      <c r="A35" s="10" t="s">
        <v>8</v>
      </c>
      <c r="B35" s="11" t="s">
        <v>35</v>
      </c>
      <c r="C35" s="11" t="s">
        <v>15</v>
      </c>
      <c r="D35" s="11" t="s">
        <v>85</v>
      </c>
      <c r="E35" s="11" t="s">
        <v>37</v>
      </c>
      <c r="F35" s="12" t="s">
        <v>43</v>
      </c>
      <c r="G35" s="11" t="s">
        <v>81</v>
      </c>
      <c r="H35" s="13"/>
      <c r="I35" s="13"/>
    </row>
    <row r="36" customFormat="false" ht="33.75" hidden="false" customHeight="true" outlineLevel="0" collapsed="false">
      <c r="A36" s="10" t="s">
        <v>8</v>
      </c>
      <c r="B36" s="11" t="s">
        <v>35</v>
      </c>
      <c r="C36" s="11" t="s">
        <v>16</v>
      </c>
      <c r="D36" s="11" t="s">
        <v>86</v>
      </c>
      <c r="E36" s="11" t="s">
        <v>37</v>
      </c>
      <c r="F36" s="12" t="s">
        <v>43</v>
      </c>
      <c r="G36" s="11"/>
      <c r="H36" s="13"/>
      <c r="I36" s="13"/>
    </row>
    <row r="37" customFormat="false" ht="33.75" hidden="false" customHeight="true" outlineLevel="0" collapsed="false">
      <c r="A37" s="10" t="s">
        <v>8</v>
      </c>
      <c r="B37" s="11" t="s">
        <v>35</v>
      </c>
      <c r="C37" s="11" t="s">
        <v>16</v>
      </c>
      <c r="D37" s="11" t="s">
        <v>87</v>
      </c>
      <c r="E37" s="11" t="s">
        <v>37</v>
      </c>
      <c r="F37" s="12" t="s">
        <v>43</v>
      </c>
      <c r="G37" s="11"/>
      <c r="H37" s="13"/>
      <c r="I37" s="13"/>
    </row>
    <row r="38" customFormat="false" ht="33.75" hidden="false" customHeight="true" outlineLevel="0" collapsed="false">
      <c r="A38" s="10" t="s">
        <v>8</v>
      </c>
      <c r="B38" s="11" t="s">
        <v>35</v>
      </c>
      <c r="C38" s="11" t="s">
        <v>16</v>
      </c>
      <c r="D38" s="11" t="s">
        <v>88</v>
      </c>
      <c r="E38" s="11" t="s">
        <v>37</v>
      </c>
      <c r="F38" s="12" t="s">
        <v>38</v>
      </c>
      <c r="G38" s="11" t="s">
        <v>89</v>
      </c>
      <c r="H38" s="13"/>
      <c r="I38" s="13"/>
    </row>
    <row r="39" customFormat="false" ht="33.75" hidden="false" customHeight="true" outlineLevel="0" collapsed="false">
      <c r="A39" s="10" t="s">
        <v>8</v>
      </c>
      <c r="B39" s="11" t="s">
        <v>35</v>
      </c>
      <c r="C39" s="11" t="s">
        <v>18</v>
      </c>
      <c r="D39" s="11" t="s">
        <v>90</v>
      </c>
      <c r="E39" s="11" t="s">
        <v>37</v>
      </c>
      <c r="F39" s="12" t="s">
        <v>38</v>
      </c>
      <c r="G39" s="11" t="s">
        <v>84</v>
      </c>
      <c r="H39" s="13"/>
      <c r="I39" s="13"/>
    </row>
    <row r="40" customFormat="false" ht="33.75" hidden="false" customHeight="true" outlineLevel="0" collapsed="false">
      <c r="A40" s="10" t="s">
        <v>8</v>
      </c>
      <c r="B40" s="11" t="s">
        <v>35</v>
      </c>
      <c r="C40" s="11" t="s">
        <v>18</v>
      </c>
      <c r="D40" s="11" t="s">
        <v>91</v>
      </c>
      <c r="E40" s="11" t="s">
        <v>37</v>
      </c>
      <c r="F40" s="12" t="s">
        <v>38</v>
      </c>
      <c r="G40" s="11" t="s">
        <v>84</v>
      </c>
      <c r="H40" s="13"/>
      <c r="I40" s="13"/>
    </row>
    <row r="41" customFormat="false" ht="33.75" hidden="false" customHeight="true" outlineLevel="0" collapsed="false">
      <c r="A41" s="10" t="s">
        <v>8</v>
      </c>
      <c r="B41" s="11" t="s">
        <v>35</v>
      </c>
      <c r="C41" s="11" t="s">
        <v>18</v>
      </c>
      <c r="D41" s="11" t="s">
        <v>92</v>
      </c>
      <c r="E41" s="11" t="s">
        <v>37</v>
      </c>
      <c r="F41" s="12" t="s">
        <v>38</v>
      </c>
      <c r="G41" s="11" t="s">
        <v>93</v>
      </c>
      <c r="H41" s="13"/>
      <c r="I41" s="13"/>
    </row>
    <row r="42" customFormat="false" ht="33.75" hidden="false" customHeight="true" outlineLevel="0" collapsed="false">
      <c r="A42" s="10" t="s">
        <v>8</v>
      </c>
      <c r="B42" s="11" t="s">
        <v>35</v>
      </c>
      <c r="C42" s="11" t="s">
        <v>18</v>
      </c>
      <c r="D42" s="11" t="s">
        <v>94</v>
      </c>
      <c r="E42" s="11" t="s">
        <v>37</v>
      </c>
      <c r="F42" s="12" t="s">
        <v>38</v>
      </c>
      <c r="G42" s="11" t="s">
        <v>95</v>
      </c>
      <c r="H42" s="13"/>
      <c r="I42" s="13"/>
    </row>
    <row r="43" customFormat="false" ht="33.75" hidden="false" customHeight="true" outlineLevel="0" collapsed="false">
      <c r="A43" s="10" t="s">
        <v>8</v>
      </c>
      <c r="B43" s="11" t="s">
        <v>35</v>
      </c>
      <c r="C43" s="11" t="s">
        <v>18</v>
      </c>
      <c r="D43" s="11" t="s">
        <v>96</v>
      </c>
      <c r="E43" s="11" t="s">
        <v>37</v>
      </c>
      <c r="F43" s="12" t="s">
        <v>38</v>
      </c>
      <c r="G43" s="11" t="s">
        <v>97</v>
      </c>
      <c r="H43" s="13"/>
      <c r="I43" s="13"/>
    </row>
    <row r="44" customFormat="false" ht="33.75" hidden="false" customHeight="true" outlineLevel="0" collapsed="false">
      <c r="A44" s="10" t="s">
        <v>8</v>
      </c>
      <c r="B44" s="11" t="s">
        <v>35</v>
      </c>
      <c r="C44" s="11" t="s">
        <v>18</v>
      </c>
      <c r="D44" s="11" t="s">
        <v>98</v>
      </c>
      <c r="E44" s="11" t="s">
        <v>37</v>
      </c>
      <c r="F44" s="12" t="s">
        <v>38</v>
      </c>
      <c r="G44" s="11" t="s">
        <v>99</v>
      </c>
      <c r="H44" s="13"/>
      <c r="I44" s="13"/>
    </row>
    <row r="45" customFormat="false" ht="33.75" hidden="false" customHeight="true" outlineLevel="0" collapsed="false">
      <c r="A45" s="10" t="s">
        <v>8</v>
      </c>
      <c r="B45" s="11" t="s">
        <v>35</v>
      </c>
      <c r="C45" s="11" t="s">
        <v>18</v>
      </c>
      <c r="D45" s="11" t="s">
        <v>100</v>
      </c>
      <c r="E45" s="11" t="s">
        <v>37</v>
      </c>
      <c r="F45" s="12" t="s">
        <v>38</v>
      </c>
      <c r="G45" s="11" t="s">
        <v>99</v>
      </c>
      <c r="H45" s="13"/>
      <c r="I45" s="13"/>
    </row>
    <row r="46" customFormat="false" ht="33.75" hidden="false" customHeight="true" outlineLevel="0" collapsed="false">
      <c r="A46" s="10" t="s">
        <v>8</v>
      </c>
      <c r="B46" s="11" t="s">
        <v>35</v>
      </c>
      <c r="C46" s="11" t="s">
        <v>20</v>
      </c>
      <c r="D46" s="11" t="s">
        <v>101</v>
      </c>
      <c r="E46" s="11" t="s">
        <v>41</v>
      </c>
      <c r="F46" s="12" t="s">
        <v>43</v>
      </c>
      <c r="G46" s="11"/>
      <c r="H46" s="13"/>
      <c r="I46" s="13"/>
    </row>
    <row r="47" customFormat="false" ht="33.75" hidden="false" customHeight="true" outlineLevel="0" collapsed="false">
      <c r="A47" s="10" t="s">
        <v>8</v>
      </c>
      <c r="B47" s="11" t="s">
        <v>35</v>
      </c>
      <c r="C47" s="11" t="s">
        <v>20</v>
      </c>
      <c r="D47" s="11" t="s">
        <v>102</v>
      </c>
      <c r="E47" s="11" t="s">
        <v>41</v>
      </c>
      <c r="F47" s="12" t="s">
        <v>43</v>
      </c>
      <c r="G47" s="11"/>
      <c r="H47" s="13"/>
      <c r="I47" s="13"/>
    </row>
    <row r="48" customFormat="false" ht="33.75" hidden="false" customHeight="true" outlineLevel="0" collapsed="false">
      <c r="A48" s="10" t="s">
        <v>8</v>
      </c>
      <c r="B48" s="11" t="s">
        <v>35</v>
      </c>
      <c r="C48" s="11" t="s">
        <v>20</v>
      </c>
      <c r="D48" s="11" t="s">
        <v>103</v>
      </c>
      <c r="E48" s="11" t="s">
        <v>41</v>
      </c>
      <c r="F48" s="12" t="s">
        <v>43</v>
      </c>
      <c r="G48" s="11"/>
      <c r="H48" s="13"/>
      <c r="I48" s="13"/>
    </row>
    <row r="49" customFormat="false" ht="33.75" hidden="false" customHeight="true" outlineLevel="0" collapsed="false">
      <c r="A49" s="10" t="s">
        <v>8</v>
      </c>
      <c r="B49" s="11" t="s">
        <v>35</v>
      </c>
      <c r="C49" s="11" t="s">
        <v>22</v>
      </c>
      <c r="D49" s="11" t="s">
        <v>104</v>
      </c>
      <c r="E49" s="11" t="s">
        <v>37</v>
      </c>
      <c r="F49" s="12" t="s">
        <v>38</v>
      </c>
      <c r="G49" s="11" t="s">
        <v>105</v>
      </c>
      <c r="H49" s="13"/>
      <c r="I49" s="13"/>
    </row>
    <row r="50" customFormat="false" ht="33.75" hidden="false" customHeight="true" outlineLevel="0" collapsed="false">
      <c r="A50" s="10" t="s">
        <v>8</v>
      </c>
      <c r="B50" s="11" t="s">
        <v>35</v>
      </c>
      <c r="C50" s="11" t="s">
        <v>22</v>
      </c>
      <c r="D50" s="11" t="s">
        <v>106</v>
      </c>
      <c r="E50" s="11" t="s">
        <v>37</v>
      </c>
      <c r="F50" s="12" t="s">
        <v>38</v>
      </c>
      <c r="G50" s="11" t="s">
        <v>39</v>
      </c>
      <c r="H50" s="13"/>
      <c r="I50" s="13"/>
    </row>
    <row r="51" customFormat="false" ht="33.75" hidden="false" customHeight="true" outlineLevel="0" collapsed="false">
      <c r="A51" s="10" t="s">
        <v>8</v>
      </c>
      <c r="B51" s="11" t="s">
        <v>35</v>
      </c>
      <c r="C51" s="11" t="s">
        <v>22</v>
      </c>
      <c r="D51" s="11" t="s">
        <v>107</v>
      </c>
      <c r="E51" s="11" t="s">
        <v>41</v>
      </c>
      <c r="F51" s="12" t="s">
        <v>43</v>
      </c>
      <c r="G51" s="11"/>
      <c r="H51" s="13"/>
      <c r="I51" s="13"/>
    </row>
    <row r="52" customFormat="false" ht="33.75" hidden="false" customHeight="true" outlineLevel="0" collapsed="false">
      <c r="A52" s="10" t="s">
        <v>8</v>
      </c>
      <c r="B52" s="11" t="s">
        <v>35</v>
      </c>
      <c r="C52" s="11" t="s">
        <v>22</v>
      </c>
      <c r="D52" s="11" t="s">
        <v>108</v>
      </c>
      <c r="E52" s="11" t="s">
        <v>41</v>
      </c>
      <c r="F52" s="12" t="s">
        <v>43</v>
      </c>
      <c r="G52" s="11"/>
      <c r="H52" s="13"/>
      <c r="I52" s="13"/>
    </row>
    <row r="53" customFormat="false" ht="33.75" hidden="false" customHeight="true" outlineLevel="0" collapsed="false">
      <c r="A53" s="10" t="s">
        <v>8</v>
      </c>
      <c r="B53" s="11" t="s">
        <v>35</v>
      </c>
      <c r="C53" s="11" t="s">
        <v>24</v>
      </c>
      <c r="D53" s="11" t="s">
        <v>109</v>
      </c>
      <c r="E53" s="11" t="s">
        <v>37</v>
      </c>
      <c r="F53" s="12" t="s">
        <v>43</v>
      </c>
      <c r="G53" s="11" t="s">
        <v>110</v>
      </c>
      <c r="H53" s="13"/>
      <c r="I53" s="13"/>
    </row>
    <row r="54" customFormat="false" ht="33.75" hidden="false" customHeight="true" outlineLevel="0" collapsed="false">
      <c r="A54" s="10" t="s">
        <v>8</v>
      </c>
      <c r="B54" s="11" t="s">
        <v>35</v>
      </c>
      <c r="C54" s="11" t="s">
        <v>24</v>
      </c>
      <c r="D54" s="11" t="s">
        <v>111</v>
      </c>
      <c r="E54" s="11" t="s">
        <v>37</v>
      </c>
      <c r="F54" s="12" t="s">
        <v>38</v>
      </c>
      <c r="G54" s="11" t="s">
        <v>110</v>
      </c>
      <c r="H54" s="13"/>
      <c r="I54" s="13"/>
    </row>
    <row r="55" customFormat="false" ht="33.75" hidden="false" customHeight="true" outlineLevel="0" collapsed="false">
      <c r="A55" s="10" t="s">
        <v>8</v>
      </c>
      <c r="B55" s="11" t="s">
        <v>35</v>
      </c>
      <c r="C55" s="11" t="s">
        <v>24</v>
      </c>
      <c r="D55" s="11" t="s">
        <v>112</v>
      </c>
      <c r="E55" s="11" t="s">
        <v>37</v>
      </c>
      <c r="F55" s="12" t="s">
        <v>43</v>
      </c>
      <c r="G55" s="11"/>
      <c r="H55" s="13"/>
      <c r="I55" s="13"/>
    </row>
    <row r="56" customFormat="false" ht="33.75" hidden="false" customHeight="true" outlineLevel="0" collapsed="false">
      <c r="A56" s="10" t="s">
        <v>8</v>
      </c>
      <c r="B56" s="11" t="s">
        <v>35</v>
      </c>
      <c r="C56" s="11" t="s">
        <v>24</v>
      </c>
      <c r="D56" s="11" t="s">
        <v>113</v>
      </c>
      <c r="E56" s="11" t="s">
        <v>37</v>
      </c>
      <c r="F56" s="12" t="s">
        <v>43</v>
      </c>
      <c r="G56" s="11" t="s">
        <v>110</v>
      </c>
      <c r="H56" s="13"/>
      <c r="I56" s="13"/>
    </row>
    <row r="57" customFormat="false" ht="33.75" hidden="false" customHeight="true" outlineLevel="0" collapsed="false">
      <c r="A57" s="10" t="s">
        <v>8</v>
      </c>
      <c r="B57" s="11" t="s">
        <v>35</v>
      </c>
      <c r="C57" s="11" t="s">
        <v>24</v>
      </c>
      <c r="D57" s="11" t="s">
        <v>114</v>
      </c>
      <c r="E57" s="11" t="s">
        <v>37</v>
      </c>
      <c r="F57" s="12" t="s">
        <v>43</v>
      </c>
      <c r="G57" s="11" t="s">
        <v>110</v>
      </c>
      <c r="H57" s="13"/>
      <c r="I57" s="13"/>
    </row>
    <row r="58" customFormat="false" ht="33.75" hidden="false" customHeight="true" outlineLevel="0" collapsed="false">
      <c r="A58" s="10" t="s">
        <v>8</v>
      </c>
      <c r="B58" s="11" t="s">
        <v>35</v>
      </c>
      <c r="C58" s="11" t="s">
        <v>26</v>
      </c>
      <c r="D58" s="11" t="s">
        <v>115</v>
      </c>
      <c r="E58" s="11" t="s">
        <v>37</v>
      </c>
      <c r="F58" s="12" t="s">
        <v>38</v>
      </c>
      <c r="G58" s="11" t="s">
        <v>116</v>
      </c>
      <c r="H58" s="13"/>
      <c r="I58" s="13"/>
    </row>
    <row r="59" customFormat="false" ht="33.75" hidden="false" customHeight="true" outlineLevel="0" collapsed="false">
      <c r="A59" s="10" t="s">
        <v>8</v>
      </c>
      <c r="B59" s="11" t="s">
        <v>35</v>
      </c>
      <c r="C59" s="11" t="s">
        <v>26</v>
      </c>
      <c r="D59" s="11" t="s">
        <v>117</v>
      </c>
      <c r="E59" s="11" t="s">
        <v>37</v>
      </c>
      <c r="F59" s="12" t="s">
        <v>38</v>
      </c>
      <c r="G59" s="11" t="s">
        <v>118</v>
      </c>
      <c r="H59" s="13"/>
      <c r="I59" s="13"/>
    </row>
    <row r="60" customFormat="false" ht="33.75" hidden="false" customHeight="true" outlineLevel="0" collapsed="false">
      <c r="A60" s="10" t="s">
        <v>8</v>
      </c>
      <c r="B60" s="11" t="s">
        <v>35</v>
      </c>
      <c r="C60" s="11" t="s">
        <v>26</v>
      </c>
      <c r="D60" s="11" t="s">
        <v>119</v>
      </c>
      <c r="E60" s="11" t="s">
        <v>37</v>
      </c>
      <c r="F60" s="12" t="s">
        <v>38</v>
      </c>
      <c r="G60" s="11" t="s">
        <v>120</v>
      </c>
      <c r="H60" s="13"/>
      <c r="I60" s="13"/>
    </row>
    <row r="61" customFormat="false" ht="33.75" hidden="false" customHeight="true" outlineLevel="0" collapsed="false">
      <c r="A61" s="10" t="s">
        <v>8</v>
      </c>
      <c r="B61" s="11" t="s">
        <v>35</v>
      </c>
      <c r="C61" s="11" t="s">
        <v>26</v>
      </c>
      <c r="D61" s="11" t="s">
        <v>121</v>
      </c>
      <c r="E61" s="11" t="s">
        <v>37</v>
      </c>
      <c r="F61" s="12" t="s">
        <v>43</v>
      </c>
      <c r="G61" s="11"/>
      <c r="H61" s="13"/>
      <c r="I61" s="13"/>
    </row>
    <row r="62" customFormat="false" ht="33.75" hidden="false" customHeight="true" outlineLevel="0" collapsed="false">
      <c r="A62" s="10" t="s">
        <v>8</v>
      </c>
      <c r="B62" s="11" t="s">
        <v>35</v>
      </c>
      <c r="C62" s="11" t="s">
        <v>29</v>
      </c>
      <c r="D62" s="11" t="s">
        <v>122</v>
      </c>
      <c r="E62" s="11" t="s">
        <v>41</v>
      </c>
      <c r="F62" s="12" t="s">
        <v>43</v>
      </c>
      <c r="G62" s="11"/>
      <c r="H62" s="13"/>
      <c r="I62" s="13"/>
    </row>
    <row r="63" customFormat="false" ht="33.75" hidden="false" customHeight="true" outlineLevel="0" collapsed="false">
      <c r="A63" s="10" t="s">
        <v>8</v>
      </c>
      <c r="B63" s="11" t="s">
        <v>35</v>
      </c>
      <c r="C63" s="11" t="s">
        <v>29</v>
      </c>
      <c r="D63" s="11" t="s">
        <v>123</v>
      </c>
      <c r="E63" s="11" t="s">
        <v>41</v>
      </c>
      <c r="F63" s="12" t="s">
        <v>43</v>
      </c>
      <c r="G63" s="11"/>
      <c r="H63" s="13"/>
      <c r="I63" s="13"/>
    </row>
    <row r="64" customFormat="false" ht="33.75" hidden="false" customHeight="true" outlineLevel="0" collapsed="false">
      <c r="A64" s="10" t="s">
        <v>8</v>
      </c>
      <c r="B64" s="11" t="s">
        <v>35</v>
      </c>
      <c r="C64" s="11" t="s">
        <v>29</v>
      </c>
      <c r="D64" s="11" t="s">
        <v>124</v>
      </c>
      <c r="E64" s="11" t="s">
        <v>41</v>
      </c>
      <c r="F64" s="12" t="s">
        <v>43</v>
      </c>
      <c r="G64" s="11"/>
      <c r="H64" s="13"/>
      <c r="I64" s="13"/>
    </row>
    <row r="65" customFormat="false" ht="33.75" hidden="false" customHeight="true" outlineLevel="0" collapsed="false">
      <c r="A65" s="10" t="s">
        <v>10</v>
      </c>
      <c r="B65" s="11" t="s">
        <v>35</v>
      </c>
      <c r="C65" s="11" t="s">
        <v>9</v>
      </c>
      <c r="D65" s="11" t="s">
        <v>125</v>
      </c>
      <c r="E65" s="11" t="s">
        <v>126</v>
      </c>
      <c r="F65" s="12" t="s">
        <v>43</v>
      </c>
      <c r="G65" s="11"/>
      <c r="H65" s="13"/>
      <c r="I65" s="13"/>
    </row>
    <row r="66" customFormat="false" ht="33.75" hidden="false" customHeight="true" outlineLevel="0" collapsed="false">
      <c r="A66" s="10" t="s">
        <v>10</v>
      </c>
      <c r="B66" s="11" t="s">
        <v>35</v>
      </c>
      <c r="C66" s="11" t="s">
        <v>9</v>
      </c>
      <c r="D66" s="11" t="s">
        <v>127</v>
      </c>
      <c r="E66" s="11" t="s">
        <v>126</v>
      </c>
      <c r="F66" s="12" t="s">
        <v>43</v>
      </c>
      <c r="G66" s="11"/>
      <c r="H66" s="13"/>
      <c r="I66" s="13"/>
    </row>
    <row r="67" customFormat="false" ht="33.75" hidden="false" customHeight="true" outlineLevel="0" collapsed="false">
      <c r="A67" s="10" t="s">
        <v>10</v>
      </c>
      <c r="B67" s="11" t="s">
        <v>35</v>
      </c>
      <c r="C67" s="11" t="s">
        <v>9</v>
      </c>
      <c r="D67" s="11" t="s">
        <v>128</v>
      </c>
      <c r="E67" s="11" t="s">
        <v>129</v>
      </c>
      <c r="F67" s="12" t="s">
        <v>38</v>
      </c>
      <c r="G67" s="11" t="s">
        <v>39</v>
      </c>
      <c r="H67" s="13"/>
      <c r="I67" s="13"/>
    </row>
    <row r="68" customFormat="false" ht="33.75" hidden="false" customHeight="true" outlineLevel="0" collapsed="false">
      <c r="A68" s="10" t="s">
        <v>10</v>
      </c>
      <c r="B68" s="11" t="s">
        <v>35</v>
      </c>
      <c r="C68" s="11" t="s">
        <v>9</v>
      </c>
      <c r="D68" s="11" t="s">
        <v>130</v>
      </c>
      <c r="E68" s="11" t="s">
        <v>126</v>
      </c>
      <c r="F68" s="12" t="s">
        <v>43</v>
      </c>
      <c r="G68" s="11"/>
      <c r="H68" s="13"/>
      <c r="I68" s="13"/>
    </row>
    <row r="69" customFormat="false" ht="33.75" hidden="false" customHeight="true" outlineLevel="0" collapsed="false">
      <c r="A69" s="10" t="s">
        <v>10</v>
      </c>
      <c r="B69" s="11" t="s">
        <v>35</v>
      </c>
      <c r="C69" s="11" t="s">
        <v>9</v>
      </c>
      <c r="D69" s="11" t="s">
        <v>131</v>
      </c>
      <c r="E69" s="11" t="s">
        <v>129</v>
      </c>
      <c r="F69" s="12" t="s">
        <v>38</v>
      </c>
      <c r="G69" s="11" t="s">
        <v>39</v>
      </c>
      <c r="H69" s="13"/>
      <c r="I69" s="13"/>
    </row>
    <row r="70" customFormat="false" ht="33.75" hidden="false" customHeight="true" outlineLevel="0" collapsed="false">
      <c r="A70" s="10" t="s">
        <v>10</v>
      </c>
      <c r="B70" s="11" t="s">
        <v>35</v>
      </c>
      <c r="C70" s="11" t="s">
        <v>9</v>
      </c>
      <c r="D70" s="11" t="s">
        <v>132</v>
      </c>
      <c r="E70" s="11" t="s">
        <v>129</v>
      </c>
      <c r="F70" s="12" t="s">
        <v>38</v>
      </c>
      <c r="G70" s="11" t="s">
        <v>39</v>
      </c>
      <c r="H70" s="13"/>
      <c r="I70" s="13"/>
    </row>
    <row r="71" customFormat="false" ht="33.75" hidden="false" customHeight="true" outlineLevel="0" collapsed="false">
      <c r="A71" s="10" t="s">
        <v>10</v>
      </c>
      <c r="B71" s="11" t="s">
        <v>35</v>
      </c>
      <c r="C71" s="11" t="s">
        <v>9</v>
      </c>
      <c r="D71" s="11" t="s">
        <v>133</v>
      </c>
      <c r="E71" s="11" t="s">
        <v>129</v>
      </c>
      <c r="F71" s="12" t="s">
        <v>43</v>
      </c>
      <c r="G71" s="11"/>
      <c r="H71" s="13"/>
      <c r="I71" s="13"/>
    </row>
    <row r="72" customFormat="false" ht="33.75" hidden="false" customHeight="true" outlineLevel="0" collapsed="false">
      <c r="A72" s="10" t="s">
        <v>10</v>
      </c>
      <c r="B72" s="11" t="s">
        <v>35</v>
      </c>
      <c r="C72" s="11" t="s">
        <v>9</v>
      </c>
      <c r="D72" s="11" t="s">
        <v>134</v>
      </c>
      <c r="E72" s="11" t="s">
        <v>129</v>
      </c>
      <c r="F72" s="12" t="s">
        <v>38</v>
      </c>
      <c r="G72" s="11" t="s">
        <v>46</v>
      </c>
      <c r="H72" s="13"/>
      <c r="I72" s="13"/>
    </row>
    <row r="73" customFormat="false" ht="33.75" hidden="false" customHeight="true" outlineLevel="0" collapsed="false">
      <c r="A73" s="10" t="s">
        <v>10</v>
      </c>
      <c r="B73" s="11" t="s">
        <v>35</v>
      </c>
      <c r="C73" s="11" t="s">
        <v>9</v>
      </c>
      <c r="D73" s="11" t="s">
        <v>135</v>
      </c>
      <c r="E73" s="11" t="s">
        <v>129</v>
      </c>
      <c r="F73" s="12" t="s">
        <v>43</v>
      </c>
      <c r="G73" s="11"/>
      <c r="H73" s="13"/>
      <c r="I73" s="13"/>
    </row>
    <row r="74" customFormat="false" ht="33.75" hidden="false" customHeight="true" outlineLevel="0" collapsed="false">
      <c r="A74" s="10" t="s">
        <v>10</v>
      </c>
      <c r="B74" s="11" t="s">
        <v>35</v>
      </c>
      <c r="C74" s="11" t="s">
        <v>11</v>
      </c>
      <c r="D74" s="11" t="s">
        <v>136</v>
      </c>
      <c r="E74" s="11" t="s">
        <v>129</v>
      </c>
      <c r="F74" s="12" t="s">
        <v>38</v>
      </c>
      <c r="G74" s="11"/>
      <c r="H74" s="13"/>
      <c r="I74" s="13"/>
    </row>
    <row r="75" customFormat="false" ht="33.75" hidden="false" customHeight="true" outlineLevel="0" collapsed="false">
      <c r="A75" s="10" t="s">
        <v>10</v>
      </c>
      <c r="B75" s="11" t="s">
        <v>35</v>
      </c>
      <c r="C75" s="11" t="s">
        <v>11</v>
      </c>
      <c r="D75" s="11" t="s">
        <v>137</v>
      </c>
      <c r="E75" s="11" t="s">
        <v>129</v>
      </c>
      <c r="F75" s="12" t="s">
        <v>38</v>
      </c>
      <c r="G75" s="11"/>
      <c r="H75" s="13"/>
      <c r="I75" s="13"/>
    </row>
    <row r="76" customFormat="false" ht="33.75" hidden="false" customHeight="true" outlineLevel="0" collapsed="false">
      <c r="A76" s="10" t="s">
        <v>10</v>
      </c>
      <c r="B76" s="11" t="s">
        <v>35</v>
      </c>
      <c r="C76" s="11" t="s">
        <v>11</v>
      </c>
      <c r="D76" s="11" t="s">
        <v>138</v>
      </c>
      <c r="E76" s="11" t="s">
        <v>129</v>
      </c>
      <c r="F76" s="12" t="s">
        <v>43</v>
      </c>
      <c r="G76" s="11"/>
      <c r="H76" s="13"/>
      <c r="I76" s="13"/>
    </row>
    <row r="77" customFormat="false" ht="33.75" hidden="false" customHeight="true" outlineLevel="0" collapsed="false">
      <c r="A77" s="10" t="s">
        <v>10</v>
      </c>
      <c r="B77" s="11" t="s">
        <v>35</v>
      </c>
      <c r="C77" s="11" t="s">
        <v>11</v>
      </c>
      <c r="D77" s="11" t="s">
        <v>139</v>
      </c>
      <c r="E77" s="11" t="s">
        <v>129</v>
      </c>
      <c r="F77" s="12" t="s">
        <v>38</v>
      </c>
      <c r="G77" s="11" t="s">
        <v>120</v>
      </c>
      <c r="H77" s="13"/>
      <c r="I77" s="13"/>
    </row>
    <row r="78" customFormat="false" ht="33.75" hidden="false" customHeight="true" outlineLevel="0" collapsed="false">
      <c r="A78" s="10" t="s">
        <v>10</v>
      </c>
      <c r="B78" s="11" t="s">
        <v>35</v>
      </c>
      <c r="C78" s="11" t="s">
        <v>11</v>
      </c>
      <c r="D78" s="11" t="s">
        <v>140</v>
      </c>
      <c r="E78" s="11" t="s">
        <v>129</v>
      </c>
      <c r="F78" s="12" t="s">
        <v>38</v>
      </c>
      <c r="G78" s="11"/>
      <c r="H78" s="13"/>
      <c r="I78" s="13"/>
    </row>
    <row r="79" customFormat="false" ht="33.75" hidden="false" customHeight="true" outlineLevel="0" collapsed="false">
      <c r="A79" s="10" t="s">
        <v>10</v>
      </c>
      <c r="B79" s="11" t="s">
        <v>35</v>
      </c>
      <c r="C79" s="11" t="s">
        <v>22</v>
      </c>
      <c r="D79" s="11" t="s">
        <v>141</v>
      </c>
      <c r="E79" s="11" t="s">
        <v>129</v>
      </c>
      <c r="F79" s="12" t="s">
        <v>38</v>
      </c>
      <c r="G79" s="11"/>
      <c r="H79" s="13"/>
      <c r="I79" s="13"/>
    </row>
    <row r="80" customFormat="false" ht="33.75" hidden="false" customHeight="true" outlineLevel="0" collapsed="false">
      <c r="A80" s="10" t="s">
        <v>10</v>
      </c>
      <c r="B80" s="11" t="s">
        <v>35</v>
      </c>
      <c r="C80" s="11" t="s">
        <v>22</v>
      </c>
      <c r="D80" s="11" t="s">
        <v>142</v>
      </c>
      <c r="E80" s="11" t="s">
        <v>129</v>
      </c>
      <c r="F80" s="12" t="s">
        <v>38</v>
      </c>
      <c r="G80" s="11"/>
      <c r="H80" s="13"/>
      <c r="I80" s="13"/>
    </row>
    <row r="81" customFormat="false" ht="33.75" hidden="false" customHeight="true" outlineLevel="0" collapsed="false">
      <c r="A81" s="10" t="s">
        <v>10</v>
      </c>
      <c r="B81" s="11" t="s">
        <v>35</v>
      </c>
      <c r="C81" s="11" t="s">
        <v>22</v>
      </c>
      <c r="D81" s="11" t="s">
        <v>143</v>
      </c>
      <c r="E81" s="11" t="s">
        <v>129</v>
      </c>
      <c r="F81" s="12" t="s">
        <v>43</v>
      </c>
      <c r="G81" s="11"/>
      <c r="H81" s="13"/>
      <c r="I81" s="13"/>
    </row>
    <row r="82" customFormat="false" ht="33.75" hidden="false" customHeight="true" outlineLevel="0" collapsed="false">
      <c r="A82" s="10" t="s">
        <v>10</v>
      </c>
      <c r="B82" s="11" t="s">
        <v>35</v>
      </c>
      <c r="C82" s="11" t="s">
        <v>22</v>
      </c>
      <c r="D82" s="11" t="s">
        <v>144</v>
      </c>
      <c r="E82" s="11" t="s">
        <v>129</v>
      </c>
      <c r="F82" s="12" t="s">
        <v>43</v>
      </c>
      <c r="G82" s="11"/>
      <c r="H82" s="13"/>
      <c r="I82" s="13"/>
    </row>
    <row r="83" customFormat="false" ht="33.75" hidden="false" customHeight="true" outlineLevel="0" collapsed="false">
      <c r="A83" s="10" t="s">
        <v>10</v>
      </c>
      <c r="B83" s="11" t="s">
        <v>35</v>
      </c>
      <c r="C83" s="11" t="s">
        <v>20</v>
      </c>
      <c r="D83" s="11" t="s">
        <v>145</v>
      </c>
      <c r="E83" s="11" t="s">
        <v>129</v>
      </c>
      <c r="F83" s="12" t="s">
        <v>38</v>
      </c>
      <c r="G83" s="11"/>
      <c r="H83" s="13"/>
      <c r="I83" s="13"/>
    </row>
    <row r="84" customFormat="false" ht="33.75" hidden="false" customHeight="true" outlineLevel="0" collapsed="false">
      <c r="A84" s="10" t="s">
        <v>10</v>
      </c>
      <c r="B84" s="11" t="s">
        <v>35</v>
      </c>
      <c r="C84" s="11" t="s">
        <v>20</v>
      </c>
      <c r="D84" s="11" t="s">
        <v>146</v>
      </c>
      <c r="E84" s="11" t="s">
        <v>129</v>
      </c>
      <c r="F84" s="12" t="s">
        <v>38</v>
      </c>
      <c r="G84" s="11"/>
      <c r="H84" s="13"/>
      <c r="I84" s="13"/>
    </row>
    <row r="85" customFormat="false" ht="33.75" hidden="false" customHeight="true" outlineLevel="0" collapsed="false">
      <c r="A85" s="10" t="s">
        <v>10</v>
      </c>
      <c r="B85" s="11" t="s">
        <v>35</v>
      </c>
      <c r="C85" s="11" t="s">
        <v>18</v>
      </c>
      <c r="D85" s="11" t="s">
        <v>147</v>
      </c>
      <c r="E85" s="11" t="s">
        <v>129</v>
      </c>
      <c r="F85" s="12" t="s">
        <v>38</v>
      </c>
      <c r="G85" s="11" t="s">
        <v>148</v>
      </c>
      <c r="H85" s="13"/>
      <c r="I85" s="13"/>
    </row>
    <row r="86" customFormat="false" ht="33.75" hidden="false" customHeight="true" outlineLevel="0" collapsed="false">
      <c r="A86" s="10" t="s">
        <v>10</v>
      </c>
      <c r="B86" s="11" t="s">
        <v>35</v>
      </c>
      <c r="C86" s="11" t="s">
        <v>18</v>
      </c>
      <c r="D86" s="11" t="s">
        <v>149</v>
      </c>
      <c r="E86" s="11" t="s">
        <v>126</v>
      </c>
      <c r="F86" s="12" t="s">
        <v>38</v>
      </c>
      <c r="G86" s="11" t="s">
        <v>97</v>
      </c>
      <c r="H86" s="13"/>
      <c r="I86" s="13"/>
    </row>
    <row r="87" customFormat="false" ht="33.75" hidden="false" customHeight="true" outlineLevel="0" collapsed="false">
      <c r="A87" s="10" t="s">
        <v>10</v>
      </c>
      <c r="B87" s="11" t="s">
        <v>35</v>
      </c>
      <c r="C87" s="11" t="s">
        <v>24</v>
      </c>
      <c r="D87" s="11" t="s">
        <v>150</v>
      </c>
      <c r="E87" s="11" t="s">
        <v>126</v>
      </c>
      <c r="F87" s="12" t="s">
        <v>38</v>
      </c>
      <c r="G87" s="11" t="s">
        <v>110</v>
      </c>
      <c r="H87" s="13"/>
      <c r="I87" s="13"/>
    </row>
    <row r="88" customFormat="false" ht="33.75" hidden="false" customHeight="true" outlineLevel="0" collapsed="false">
      <c r="A88" s="10" t="s">
        <v>10</v>
      </c>
      <c r="B88" s="11" t="s">
        <v>35</v>
      </c>
      <c r="C88" s="11" t="s">
        <v>24</v>
      </c>
      <c r="D88" s="11" t="s">
        <v>151</v>
      </c>
      <c r="E88" s="11" t="s">
        <v>126</v>
      </c>
      <c r="F88" s="12" t="s">
        <v>43</v>
      </c>
      <c r="G88" s="11"/>
      <c r="H88" s="13"/>
      <c r="I88" s="13"/>
    </row>
    <row r="89" customFormat="false" ht="33.75" hidden="false" customHeight="true" outlineLevel="0" collapsed="false">
      <c r="A89" s="10" t="s">
        <v>10</v>
      </c>
      <c r="B89" s="11" t="s">
        <v>35</v>
      </c>
      <c r="C89" s="11" t="s">
        <v>28</v>
      </c>
      <c r="D89" s="11" t="s">
        <v>152</v>
      </c>
      <c r="E89" s="11" t="s">
        <v>129</v>
      </c>
      <c r="F89" s="12" t="s">
        <v>43</v>
      </c>
      <c r="G89" s="11"/>
      <c r="H89" s="13"/>
      <c r="I89" s="13"/>
    </row>
    <row r="90" customFormat="false" ht="33.75" hidden="false" customHeight="true" outlineLevel="0" collapsed="false">
      <c r="A90" s="10" t="s">
        <v>10</v>
      </c>
      <c r="B90" s="11" t="s">
        <v>35</v>
      </c>
      <c r="C90" s="11" t="s">
        <v>28</v>
      </c>
      <c r="D90" s="11" t="s">
        <v>153</v>
      </c>
      <c r="E90" s="11" t="s">
        <v>129</v>
      </c>
      <c r="F90" s="12" t="s">
        <v>43</v>
      </c>
      <c r="G90" s="11"/>
      <c r="H90" s="13"/>
      <c r="I90" s="13"/>
    </row>
    <row r="91" customFormat="false" ht="33.75" hidden="false" customHeight="true" outlineLevel="0" collapsed="false">
      <c r="A91" s="10" t="s">
        <v>10</v>
      </c>
      <c r="B91" s="11" t="s">
        <v>35</v>
      </c>
      <c r="C91" s="11" t="s">
        <v>28</v>
      </c>
      <c r="D91" s="11" t="s">
        <v>154</v>
      </c>
      <c r="E91" s="11" t="s">
        <v>129</v>
      </c>
      <c r="F91" s="12" t="s">
        <v>38</v>
      </c>
      <c r="G91" s="11"/>
      <c r="H91" s="13"/>
      <c r="I91" s="13"/>
    </row>
    <row r="92" customFormat="false" ht="33.75" hidden="false" customHeight="true" outlineLevel="0" collapsed="false">
      <c r="A92" s="10" t="s">
        <v>12</v>
      </c>
      <c r="B92" s="11" t="s">
        <v>155</v>
      </c>
      <c r="C92" s="11" t="s">
        <v>9</v>
      </c>
      <c r="D92" s="11" t="s">
        <v>156</v>
      </c>
      <c r="E92" s="11" t="s">
        <v>157</v>
      </c>
      <c r="F92" s="12" t="s">
        <v>38</v>
      </c>
      <c r="G92" s="11" t="s">
        <v>158</v>
      </c>
      <c r="H92" s="13"/>
      <c r="I92" s="13"/>
    </row>
    <row r="93" customFormat="false" ht="33.75" hidden="false" customHeight="true" outlineLevel="0" collapsed="false">
      <c r="A93" s="10" t="s">
        <v>12</v>
      </c>
      <c r="B93" s="11" t="s">
        <v>155</v>
      </c>
      <c r="C93" s="11" t="s">
        <v>9</v>
      </c>
      <c r="D93" s="11" t="s">
        <v>159</v>
      </c>
      <c r="E93" s="11" t="s">
        <v>157</v>
      </c>
      <c r="F93" s="12" t="s">
        <v>38</v>
      </c>
      <c r="G93" s="11" t="s">
        <v>158</v>
      </c>
      <c r="H93" s="13"/>
      <c r="I93" s="13"/>
    </row>
    <row r="94" customFormat="false" ht="33.75" hidden="false" customHeight="true" outlineLevel="0" collapsed="false">
      <c r="A94" s="10" t="s">
        <v>12</v>
      </c>
      <c r="B94" s="11" t="s">
        <v>155</v>
      </c>
      <c r="C94" s="11" t="s">
        <v>9</v>
      </c>
      <c r="D94" s="11" t="s">
        <v>160</v>
      </c>
      <c r="E94" s="11" t="s">
        <v>157</v>
      </c>
      <c r="F94" s="12" t="s">
        <v>43</v>
      </c>
      <c r="G94" s="11"/>
      <c r="H94" s="13"/>
      <c r="I94" s="13"/>
    </row>
    <row r="95" customFormat="false" ht="33.75" hidden="false" customHeight="true" outlineLevel="0" collapsed="false">
      <c r="A95" s="10" t="s">
        <v>12</v>
      </c>
      <c r="B95" s="11" t="s">
        <v>155</v>
      </c>
      <c r="C95" s="11" t="s">
        <v>9</v>
      </c>
      <c r="D95" s="11" t="s">
        <v>161</v>
      </c>
      <c r="E95" s="11" t="s">
        <v>157</v>
      </c>
      <c r="F95" s="12" t="s">
        <v>43</v>
      </c>
      <c r="G95" s="11"/>
      <c r="H95" s="13"/>
      <c r="I95" s="13"/>
    </row>
    <row r="96" customFormat="false" ht="33.75" hidden="false" customHeight="true" outlineLevel="0" collapsed="false">
      <c r="A96" s="10" t="s">
        <v>12</v>
      </c>
      <c r="B96" s="11" t="s">
        <v>155</v>
      </c>
      <c r="C96" s="11" t="s">
        <v>9</v>
      </c>
      <c r="D96" s="11" t="s">
        <v>162</v>
      </c>
      <c r="E96" s="11" t="s">
        <v>157</v>
      </c>
      <c r="F96" s="12" t="s">
        <v>43</v>
      </c>
      <c r="G96" s="11"/>
      <c r="H96" s="13"/>
      <c r="I96" s="13"/>
    </row>
    <row r="97" customFormat="false" ht="33.75" hidden="false" customHeight="true" outlineLevel="0" collapsed="false">
      <c r="A97" s="10" t="s">
        <v>12</v>
      </c>
      <c r="B97" s="11" t="s">
        <v>155</v>
      </c>
      <c r="C97" s="11" t="s">
        <v>9</v>
      </c>
      <c r="D97" s="11" t="s">
        <v>163</v>
      </c>
      <c r="E97" s="11" t="s">
        <v>157</v>
      </c>
      <c r="F97" s="12" t="s">
        <v>43</v>
      </c>
      <c r="G97" s="11"/>
      <c r="H97" s="13"/>
      <c r="I97" s="13"/>
    </row>
    <row r="98" customFormat="false" ht="33.75" hidden="false" customHeight="true" outlineLevel="0" collapsed="false">
      <c r="A98" s="10" t="s">
        <v>12</v>
      </c>
      <c r="B98" s="11" t="s">
        <v>155</v>
      </c>
      <c r="C98" s="11" t="s">
        <v>11</v>
      </c>
      <c r="D98" s="11" t="s">
        <v>164</v>
      </c>
      <c r="E98" s="11" t="s">
        <v>157</v>
      </c>
      <c r="F98" s="12" t="s">
        <v>38</v>
      </c>
      <c r="G98" s="11" t="s">
        <v>165</v>
      </c>
      <c r="H98" s="13"/>
      <c r="I98" s="13"/>
    </row>
    <row r="99" customFormat="false" ht="33.75" hidden="false" customHeight="true" outlineLevel="0" collapsed="false">
      <c r="A99" s="10" t="s">
        <v>12</v>
      </c>
      <c r="B99" s="11" t="s">
        <v>155</v>
      </c>
      <c r="C99" s="11" t="s">
        <v>11</v>
      </c>
      <c r="D99" s="11" t="s">
        <v>166</v>
      </c>
      <c r="E99" s="11" t="s">
        <v>157</v>
      </c>
      <c r="F99" s="12" t="s">
        <v>38</v>
      </c>
      <c r="G99" s="11" t="s">
        <v>165</v>
      </c>
      <c r="H99" s="13"/>
      <c r="I99" s="13"/>
    </row>
    <row r="100" customFormat="false" ht="33.75" hidden="false" customHeight="true" outlineLevel="0" collapsed="false">
      <c r="A100" s="10" t="s">
        <v>12</v>
      </c>
      <c r="B100" s="11" t="s">
        <v>155</v>
      </c>
      <c r="C100" s="11" t="s">
        <v>11</v>
      </c>
      <c r="D100" s="11" t="s">
        <v>167</v>
      </c>
      <c r="E100" s="11" t="s">
        <v>157</v>
      </c>
      <c r="F100" s="12" t="s">
        <v>38</v>
      </c>
      <c r="G100" s="11" t="s">
        <v>168</v>
      </c>
      <c r="H100" s="13"/>
      <c r="I100" s="13"/>
    </row>
    <row r="101" customFormat="false" ht="33.75" hidden="false" customHeight="true" outlineLevel="0" collapsed="false">
      <c r="A101" s="10" t="s">
        <v>12</v>
      </c>
      <c r="B101" s="11" t="s">
        <v>155</v>
      </c>
      <c r="C101" s="11" t="s">
        <v>11</v>
      </c>
      <c r="D101" s="11" t="s">
        <v>169</v>
      </c>
      <c r="E101" s="11" t="s">
        <v>157</v>
      </c>
      <c r="F101" s="12" t="s">
        <v>38</v>
      </c>
      <c r="G101" s="11" t="s">
        <v>168</v>
      </c>
      <c r="H101" s="13"/>
      <c r="I101" s="13"/>
    </row>
    <row r="102" customFormat="false" ht="33.75" hidden="false" customHeight="true" outlineLevel="0" collapsed="false">
      <c r="A102" s="10" t="s">
        <v>12</v>
      </c>
      <c r="B102" s="11" t="s">
        <v>155</v>
      </c>
      <c r="C102" s="11" t="s">
        <v>11</v>
      </c>
      <c r="D102" s="11" t="s">
        <v>170</v>
      </c>
      <c r="E102" s="11" t="s">
        <v>157</v>
      </c>
      <c r="F102" s="12" t="s">
        <v>43</v>
      </c>
      <c r="G102" s="11"/>
      <c r="H102" s="13"/>
      <c r="I102" s="13"/>
    </row>
    <row r="103" customFormat="false" ht="33.75" hidden="false" customHeight="true" outlineLevel="0" collapsed="false">
      <c r="A103" s="10" t="s">
        <v>12</v>
      </c>
      <c r="B103" s="11" t="s">
        <v>155</v>
      </c>
      <c r="C103" s="11" t="s">
        <v>11</v>
      </c>
      <c r="D103" s="11" t="s">
        <v>171</v>
      </c>
      <c r="E103" s="11" t="s">
        <v>157</v>
      </c>
      <c r="F103" s="12" t="s">
        <v>38</v>
      </c>
      <c r="G103" s="11"/>
      <c r="H103" s="13"/>
      <c r="I103" s="13"/>
    </row>
    <row r="104" customFormat="false" ht="33.75" hidden="false" customHeight="true" outlineLevel="0" collapsed="false">
      <c r="A104" s="10" t="s">
        <v>12</v>
      </c>
      <c r="B104" s="11" t="s">
        <v>155</v>
      </c>
      <c r="C104" s="11" t="s">
        <v>11</v>
      </c>
      <c r="D104" s="11" t="s">
        <v>172</v>
      </c>
      <c r="E104" s="11" t="s">
        <v>157</v>
      </c>
      <c r="F104" s="12" t="s">
        <v>38</v>
      </c>
      <c r="G104" s="11"/>
      <c r="H104" s="13"/>
      <c r="I104" s="13"/>
    </row>
    <row r="105" customFormat="false" ht="33.75" hidden="false" customHeight="true" outlineLevel="0" collapsed="false">
      <c r="A105" s="10" t="s">
        <v>12</v>
      </c>
      <c r="B105" s="11" t="s">
        <v>155</v>
      </c>
      <c r="C105" s="11" t="s">
        <v>11</v>
      </c>
      <c r="D105" s="11" t="s">
        <v>173</v>
      </c>
      <c r="E105" s="11" t="s">
        <v>157</v>
      </c>
      <c r="F105" s="12" t="s">
        <v>38</v>
      </c>
      <c r="G105" s="11"/>
      <c r="H105" s="13"/>
      <c r="I105" s="13"/>
    </row>
    <row r="106" customFormat="false" ht="33.75" hidden="false" customHeight="true" outlineLevel="0" collapsed="false">
      <c r="A106" s="10" t="s">
        <v>12</v>
      </c>
      <c r="B106" s="11" t="s">
        <v>155</v>
      </c>
      <c r="C106" s="11" t="s">
        <v>15</v>
      </c>
      <c r="D106" s="11" t="s">
        <v>174</v>
      </c>
      <c r="E106" s="11" t="s">
        <v>157</v>
      </c>
      <c r="F106" s="12" t="s">
        <v>43</v>
      </c>
      <c r="G106" s="11"/>
      <c r="H106" s="13"/>
      <c r="I106" s="13"/>
    </row>
    <row r="107" customFormat="false" ht="33.75" hidden="false" customHeight="true" outlineLevel="0" collapsed="false">
      <c r="A107" s="10" t="s">
        <v>12</v>
      </c>
      <c r="B107" s="11" t="s">
        <v>155</v>
      </c>
      <c r="C107" s="11" t="s">
        <v>15</v>
      </c>
      <c r="D107" s="11" t="s">
        <v>175</v>
      </c>
      <c r="E107" s="11" t="s">
        <v>157</v>
      </c>
      <c r="F107" s="12" t="s">
        <v>43</v>
      </c>
      <c r="G107" s="11"/>
      <c r="H107" s="13"/>
      <c r="I107" s="13"/>
    </row>
    <row r="108" customFormat="false" ht="33.75" hidden="false" customHeight="true" outlineLevel="0" collapsed="false">
      <c r="A108" s="10" t="s">
        <v>12</v>
      </c>
      <c r="B108" s="11" t="s">
        <v>155</v>
      </c>
      <c r="C108" s="11" t="s">
        <v>15</v>
      </c>
      <c r="D108" s="11" t="s">
        <v>176</v>
      </c>
      <c r="E108" s="11" t="s">
        <v>157</v>
      </c>
      <c r="F108" s="12" t="s">
        <v>43</v>
      </c>
      <c r="G108" s="11"/>
      <c r="H108" s="13"/>
      <c r="I108" s="13"/>
    </row>
    <row r="109" customFormat="false" ht="33.75" hidden="false" customHeight="true" outlineLevel="0" collapsed="false">
      <c r="A109" s="10" t="s">
        <v>12</v>
      </c>
      <c r="B109" s="11" t="s">
        <v>155</v>
      </c>
      <c r="C109" s="11" t="s">
        <v>15</v>
      </c>
      <c r="D109" s="11" t="s">
        <v>177</v>
      </c>
      <c r="E109" s="11" t="s">
        <v>157</v>
      </c>
      <c r="F109" s="12" t="s">
        <v>38</v>
      </c>
      <c r="G109" s="11" t="s">
        <v>178</v>
      </c>
      <c r="H109" s="13"/>
      <c r="I109" s="13"/>
    </row>
    <row r="110" customFormat="false" ht="33.75" hidden="false" customHeight="true" outlineLevel="0" collapsed="false">
      <c r="A110" s="10" t="s">
        <v>12</v>
      </c>
      <c r="B110" s="11" t="s">
        <v>155</v>
      </c>
      <c r="C110" s="11" t="s">
        <v>15</v>
      </c>
      <c r="D110" s="11" t="s">
        <v>179</v>
      </c>
      <c r="E110" s="11" t="s">
        <v>157</v>
      </c>
      <c r="F110" s="12" t="s">
        <v>38</v>
      </c>
      <c r="G110" s="11" t="s">
        <v>180</v>
      </c>
      <c r="H110" s="13"/>
      <c r="I110" s="13"/>
    </row>
    <row r="111" customFormat="false" ht="33.75" hidden="false" customHeight="true" outlineLevel="0" collapsed="false">
      <c r="A111" s="10" t="s">
        <v>12</v>
      </c>
      <c r="B111" s="11" t="s">
        <v>155</v>
      </c>
      <c r="C111" s="11" t="s">
        <v>15</v>
      </c>
      <c r="D111" s="11" t="s">
        <v>181</v>
      </c>
      <c r="E111" s="11" t="s">
        <v>157</v>
      </c>
      <c r="F111" s="12" t="s">
        <v>43</v>
      </c>
      <c r="G111" s="11"/>
      <c r="H111" s="13"/>
      <c r="I111" s="13"/>
    </row>
    <row r="112" customFormat="false" ht="33.75" hidden="false" customHeight="true" outlineLevel="0" collapsed="false">
      <c r="A112" s="10" t="s">
        <v>12</v>
      </c>
      <c r="B112" s="11" t="s">
        <v>155</v>
      </c>
      <c r="C112" s="11" t="s">
        <v>18</v>
      </c>
      <c r="D112" s="11" t="s">
        <v>182</v>
      </c>
      <c r="E112" s="11" t="s">
        <v>157</v>
      </c>
      <c r="F112" s="12" t="s">
        <v>38</v>
      </c>
      <c r="G112" s="11" t="s">
        <v>99</v>
      </c>
      <c r="H112" s="13"/>
      <c r="I112" s="13"/>
    </row>
    <row r="113" customFormat="false" ht="33.75" hidden="false" customHeight="true" outlineLevel="0" collapsed="false">
      <c r="A113" s="10" t="s">
        <v>12</v>
      </c>
      <c r="B113" s="11" t="s">
        <v>155</v>
      </c>
      <c r="C113" s="11" t="s">
        <v>18</v>
      </c>
      <c r="D113" s="11" t="s">
        <v>183</v>
      </c>
      <c r="E113" s="11" t="s">
        <v>157</v>
      </c>
      <c r="F113" s="12" t="s">
        <v>38</v>
      </c>
      <c r="G113" s="11"/>
      <c r="H113" s="13"/>
      <c r="I113" s="13"/>
    </row>
    <row r="114" customFormat="false" ht="33.75" hidden="false" customHeight="true" outlineLevel="0" collapsed="false">
      <c r="A114" s="10" t="s">
        <v>12</v>
      </c>
      <c r="B114" s="11" t="s">
        <v>155</v>
      </c>
      <c r="C114" s="11" t="s">
        <v>18</v>
      </c>
      <c r="D114" s="11" t="s">
        <v>184</v>
      </c>
      <c r="E114" s="11" t="s">
        <v>157</v>
      </c>
      <c r="F114" s="12" t="s">
        <v>43</v>
      </c>
      <c r="G114" s="11"/>
      <c r="H114" s="13"/>
      <c r="I114" s="13"/>
    </row>
    <row r="115" customFormat="false" ht="33.75" hidden="false" customHeight="true" outlineLevel="0" collapsed="false">
      <c r="A115" s="10" t="s">
        <v>12</v>
      </c>
      <c r="B115" s="11" t="s">
        <v>155</v>
      </c>
      <c r="C115" s="11" t="s">
        <v>20</v>
      </c>
      <c r="D115" s="11" t="s">
        <v>185</v>
      </c>
      <c r="E115" s="11" t="s">
        <v>157</v>
      </c>
      <c r="F115" s="12" t="s">
        <v>38</v>
      </c>
      <c r="G115" s="11"/>
      <c r="H115" s="13"/>
      <c r="I115" s="13"/>
    </row>
    <row r="116" customFormat="false" ht="33.75" hidden="false" customHeight="true" outlineLevel="0" collapsed="false">
      <c r="A116" s="10" t="s">
        <v>12</v>
      </c>
      <c r="B116" s="11" t="s">
        <v>155</v>
      </c>
      <c r="C116" s="11" t="s">
        <v>20</v>
      </c>
      <c r="D116" s="11" t="s">
        <v>186</v>
      </c>
      <c r="E116" s="11" t="s">
        <v>157</v>
      </c>
      <c r="F116" s="12" t="s">
        <v>38</v>
      </c>
      <c r="G116" s="11"/>
      <c r="H116" s="13"/>
      <c r="I116" s="13"/>
    </row>
    <row r="117" customFormat="false" ht="33.75" hidden="false" customHeight="true" outlineLevel="0" collapsed="false">
      <c r="A117" s="10" t="s">
        <v>12</v>
      </c>
      <c r="B117" s="11" t="s">
        <v>155</v>
      </c>
      <c r="C117" s="11" t="s">
        <v>29</v>
      </c>
      <c r="D117" s="11" t="s">
        <v>187</v>
      </c>
      <c r="E117" s="11" t="s">
        <v>157</v>
      </c>
      <c r="F117" s="12" t="s">
        <v>43</v>
      </c>
      <c r="G117" s="11"/>
      <c r="H117" s="13"/>
      <c r="I117" s="13"/>
    </row>
    <row r="118" customFormat="false" ht="33.75" hidden="false" customHeight="true" outlineLevel="0" collapsed="false">
      <c r="A118" s="10" t="s">
        <v>12</v>
      </c>
      <c r="B118" s="11" t="s">
        <v>155</v>
      </c>
      <c r="C118" s="11" t="s">
        <v>29</v>
      </c>
      <c r="D118" s="11" t="s">
        <v>188</v>
      </c>
      <c r="E118" s="11" t="s">
        <v>157</v>
      </c>
      <c r="F118" s="12" t="s">
        <v>43</v>
      </c>
      <c r="G118" s="11"/>
      <c r="H118" s="13"/>
      <c r="I118" s="13"/>
    </row>
    <row r="119" customFormat="false" ht="33.75" hidden="false" customHeight="true" outlineLevel="0" collapsed="false">
      <c r="A119" s="10" t="s">
        <v>12</v>
      </c>
      <c r="B119" s="11" t="s">
        <v>155</v>
      </c>
      <c r="C119" s="11" t="s">
        <v>29</v>
      </c>
      <c r="D119" s="11" t="s">
        <v>189</v>
      </c>
      <c r="E119" s="11" t="s">
        <v>157</v>
      </c>
      <c r="F119" s="12" t="s">
        <v>43</v>
      </c>
      <c r="G119" s="11"/>
      <c r="H119" s="13"/>
      <c r="I119" s="13"/>
    </row>
    <row r="120" customFormat="false" ht="33.75" hidden="false" customHeight="true" outlineLevel="0" collapsed="false">
      <c r="A120" s="10" t="s">
        <v>12</v>
      </c>
      <c r="B120" s="11" t="s">
        <v>155</v>
      </c>
      <c r="C120" s="11" t="s">
        <v>29</v>
      </c>
      <c r="D120" s="11" t="s">
        <v>190</v>
      </c>
      <c r="E120" s="11" t="s">
        <v>157</v>
      </c>
      <c r="F120" s="12" t="s">
        <v>43</v>
      </c>
      <c r="G120" s="11"/>
      <c r="H120" s="13"/>
      <c r="I120" s="13"/>
    </row>
    <row r="122" customFormat="false" ht="15" hidden="false" customHeight="false" outlineLevel="0" collapsed="false">
      <c r="A122" s="2" t="s">
        <v>191</v>
      </c>
    </row>
  </sheetData>
  <autoFilter ref="A1:I12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2026-09-10T04:35:15Z</dcterms:created>
  <dc:creator>openpyxl</dc:creator>
  <dc:description/>
  <dc:language>en-US</dc:language>
  <cp:lastModifiedBy/>
  <dcterms:modified xsi:type="dcterms:W3CDTF">2026-09-10T04:35:15Z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
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Jobs to be done" sheetId="2" state="visible" r:id="rId4"/>
  </sheets>
  <definedNames>
    <definedName function="false" hidden="true" localSheetId="1" name="_xlnm._FilterDatabase" vbProcedure="false">'Jobs to be done'!$A$1:$H$120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<sst xmlns="http://schemas.openxmlformats.org/spreadsheetml/2006/main" count="754" uniqueCount="163">
  <si>
    <t xml:space="preserve">Jobs to be done — Hireup for Providers</t>
  </si>
  <si>
    <t xml:space="preserve">Sources: CPA (Dorothy, Elise), Northcott (Carlos, Sufi), Life Without Barriers (Suman).</t>
  </si>
  <si>
    <t xml:space="preserve">By organisation</t>
  </si>
  <si>
    <t xml:space="preserve">By theme</t>
  </si>
  <si>
    <t xml:space="preserve">Organisation</t>
  </si>
  <si>
    <t xml:space="preserve">Jobs</t>
  </si>
  <si>
    <t xml:space="preserve">IA relevant</t>
  </si>
  <si>
    <t xml:space="preserve">Theme</t>
  </si>
  <si>
    <t xml:space="preserve">Cerebral Palsy Alliance</t>
  </si>
  <si>
    <t xml:space="preserve">Filling a shift</t>
  </si>
  <si>
    <t xml:space="preserve">Northcott</t>
  </si>
  <si>
    <t xml:space="preserve">Choosing a worker</t>
  </si>
  <si>
    <t xml:space="preserve">Life Without Barriers</t>
  </si>
  <si>
    <t xml:space="preserve">Worker safety and compliance</t>
  </si>
  <si>
    <t xml:space="preserve">Total</t>
  </si>
  <si>
    <t xml:space="preserve">Talking to workers</t>
  </si>
  <si>
    <t xml:space="preserve">Notifications</t>
  </si>
  <si>
    <t xml:space="preserve">Notes</t>
  </si>
  <si>
    <t xml:space="preserve">Oversight</t>
  </si>
  <si>
    <t xml:space="preserve">1.  Job wording uses each participant's own terms of phrase, so the concepts stay familiar rather than being restated in our language.</t>
  </si>
  <si>
    <t xml:space="preserve">Forward planning</t>
  </si>
  <si>
    <t xml:space="preserve">2.  'IA relevant' is an attribute, not a separate list. Jobs that are not IA relevant are still real jobs.</t>
  </si>
  <si>
    <t xml:space="preserve">Funding and invoicing</t>
  </si>
  <si>
    <t xml:space="preserve">3.  Preferring email over the portal appears at Northcott and LWB and nowhere at CPA. It is the sharpest split in the research.</t>
  </si>
  <si>
    <t xml:space="preserve">Describing a site</t>
  </si>
  <si>
    <t xml:space="preserve">4.  Master rosters and recurring shifts appear at CPA, Northcott and LWB. The prototype only knows one-off requests.</t>
  </si>
  <si>
    <t xml:space="preserve">Building a team</t>
  </si>
  <si>
    <t xml:space="preserve">5.  LWB contradicts two things the prototype assumes: stated availability is not trusted, and being booked elsewhere does not matter.</t>
  </si>
  <si>
    <t xml:space="preserve">Learning the platform</t>
  </si>
  <si>
    <t xml:space="preserve">Hireup as a service</t>
  </si>
  <si>
    <t xml:space="preserve">Sector</t>
  </si>
  <si>
    <t xml:space="preserve">Job to be done</t>
  </si>
  <si>
    <t xml:space="preserve">Said by</t>
  </si>
  <si>
    <t xml:space="preserve">Validated?</t>
  </si>
  <si>
    <t xml:space="preserve">Disability</t>
  </si>
  <si>
    <t xml:space="preserve">Fill a shift once we've exhausted all internal options</t>
  </si>
  <si>
    <t xml:space="preserve">Dorothy</t>
  </si>
  <si>
    <t xml:space="preserve">Yes</t>
  </si>
  <si>
    <t xml:space="preserve">Hand the shift over to Careforce and get back to my day job</t>
  </si>
  <si>
    <t xml:space="preserve">Elise</t>
  </si>
  <si>
    <t xml:space="preserve">Fill the leftover needs identified at the monthly catch-up with each house manager</t>
  </si>
  <si>
    <t xml:space="preserve">No</t>
  </si>
  <si>
    <t xml:space="preserve">Fill the unplanned shifts that come in through the house managers</t>
  </si>
  <si>
    <t xml:space="preserve">Ask agency for familiar and known staff, and if they don't have anybody, consult the manager on whether unfamiliar is suitable</t>
  </si>
  <si>
    <t xml:space="preserve">Get an unfamiliar worker onto the shift a bit earlier for induction</t>
  </si>
  <si>
    <t xml:space="preserve">Ring someone already working on site and ask if they have the capacity to stay</t>
  </si>
  <si>
    <t xml:space="preserve">See no workers available for DY at this time, then other workers who have worked within the region who have availability at this time</t>
  </si>
  <si>
    <t xml:space="preserve">Request a booking without going to a specific day</t>
  </si>
  <si>
    <t xml:space="preserve">Duplicate the same shift</t>
  </si>
  <si>
    <t xml:space="preserve">Tell whether or not a worker is suitable for the site</t>
  </si>
  <si>
    <t xml:space="preserve">See that across this region, this worker has worked across all seven sites and done 30 different shifts</t>
  </si>
  <si>
    <t xml:space="preserve">See how many hours they've worked at CPA, to know are they really new, have they done 2 shifts versus a lot of hours at one site</t>
  </si>
  <si>
    <t xml:space="preserve">See who else in Hireup has also worked in other group homes, so they'd know where plans are kept</t>
  </si>
  <si>
    <t xml:space="preserve">Only see the workers I've had working at my own house</t>
  </si>
  <si>
    <t xml:space="preserve">See which sites they've been at, as a tick box or colour coded</t>
  </si>
  <si>
    <t xml:space="preserve">Have familiarity of that worker: someone who knows the house, the needs of the clients, roughly what routines are operating that day</t>
  </si>
  <si>
    <t xml:space="preserve">Know their name, their skill set, and what their availabilities are</t>
  </si>
  <si>
    <t xml:space="preserve">Highlight a worker I don't know and have their profile pop up</t>
  </si>
  <si>
    <t xml:space="preserve">Go back to the staff in the group home and ask who'd be my best bets to book</t>
  </si>
  <si>
    <t xml:space="preserve">Pick up the phone to other house managers and ask who'd be keen to come across and work a shift</t>
  </si>
  <si>
    <t xml:space="preserve">See which workers we would be using regularly, alongside the feedback the managers are giving</t>
  </si>
  <si>
    <t xml:space="preserve">Know they're either inducted to the service and can work there, or they're not</t>
  </si>
  <si>
    <t xml:space="preserve">Know whether a worker is coming off an overnight or sleepover shift, or going into 24 hours straight</t>
  </si>
  <si>
    <t xml:space="preserve">Know whether workers are booking back-to-back bookings</t>
  </si>
  <si>
    <t xml:space="preserve">Trust they've got all their stuff in date: CPR annual, first aid every 3 years, NDIS worker check</t>
  </si>
  <si>
    <t xml:space="preserve">See they've done the medication assessment and been assessed by our fleet coordinator to drive our vehicles</t>
  </si>
  <si>
    <t xml:space="preserve">Know support plans are confirmed, and whether they've been updated and read</t>
  </si>
  <si>
    <t xml:space="preserve">Report an incident, because then it's attached to that worker on that shift</t>
  </si>
  <si>
    <t xml:space="preserve">Know vehicle allowance is enabled, helpful if in an emergency you needed one</t>
  </si>
  <si>
    <t xml:space="preserve">See the messages relating to DY, and any workers we've reached out to that we've wanted to go work at DY</t>
  </si>
  <si>
    <t xml:space="preserve">Have a covering manager still be able to action and follow up, and still see what she did when I come back</t>
  </si>
  <si>
    <t xml:space="preserve">See which sites currently have messages pending</t>
  </si>
  <si>
    <t xml:space="preserve">Ask a worker what their experience is and when they're available for a buddy</t>
  </si>
  <si>
    <t xml:space="preserve">Tick these 3 things I want to be notified of, but not the other 6</t>
  </si>
  <si>
    <t xml:space="preserve">Choose the frequency, so I just get those messages Monday, Wednesday, Friday</t>
  </si>
  <si>
    <t xml:space="preserve">See notifications only relating to DY</t>
  </si>
  <si>
    <t xml:space="preserve">See how frequently we are using Hireup</t>
  </si>
  <si>
    <t xml:space="preserve">Know whether that shift is being filled, and whether Ria knows how to manage the risks</t>
  </si>
  <si>
    <t xml:space="preserve">See bookings just for DY</t>
  </si>
  <si>
    <t xml:space="preserve">See who they've got booked in, who their team is, and if there's approvals that need to be made</t>
  </si>
  <si>
    <t xml:space="preserve">Approve the booking so the worker gets paid</t>
  </si>
  <si>
    <t xml:space="preserve">Have oversight of a group home for a day or two when someone's sick or on leave</t>
  </si>
  <si>
    <t xml:space="preserve">Go in and confirm a worker's name, or check any messages coming through, when covering short-term leave</t>
  </si>
  <si>
    <t xml:space="preserve">Create the monthly roster from the base master roster, identifying any approved and planned leave</t>
  </si>
  <si>
    <t xml:space="preserve">Talk to the existing team to see if they want to pick up any additional hours</t>
  </si>
  <si>
    <t xml:space="preserve">Catch up with each house manager once a month, two weeks before the roster commences</t>
  </si>
  <si>
    <t xml:space="preserve">Put the client's name in, because that's the specific client we'd be charging this invoice to</t>
  </si>
  <si>
    <t xml:space="preserve">Book somebody for the whole house: a worker to support all the clients on that shift</t>
  </si>
  <si>
    <t xml:space="preserve">Add the agency shifts into our rostering system with basic staff details, so managers know who's coming to site</t>
  </si>
  <si>
    <t xml:space="preserve">Have invoices reviewed and approved by an area manager, then payment through finance</t>
  </si>
  <si>
    <t xml:space="preserve">Stop having to almost copy and paste what I was writing to each individual worker</t>
  </si>
  <si>
    <t xml:space="preserve">Let a worker see it's a SIL house in DY, with 5 clients, mostly manual handling or mostly behaviours, and what we're looking for</t>
  </si>
  <si>
    <t xml:space="preserve">Gate it: the setting first, then an I'm interested button, then more detail, then a chat box to the manager</t>
  </si>
  <si>
    <t xml:space="preserve">Help workers distinguish a group home SIL setting from the one-on-one jobs in the middle of the day</t>
  </si>
  <si>
    <t xml:space="preserve">Not share too much information about who's living in our different houses</t>
  </si>
  <si>
    <t xml:space="preserve">Build my team again when it's dwindled from 15 to 3</t>
  </si>
  <si>
    <t xml:space="preserve">Look at who was in the area, who was open to work</t>
  </si>
  <si>
    <t xml:space="preserve">Search for workers near me</t>
  </si>
  <si>
    <t xml:space="preserve">Put up a job so anybody in the area could express their interest</t>
  </si>
  <si>
    <t xml:space="preserve">Send an email saying these are the shifts we need filling, and have them come back with people known to the site</t>
  </si>
  <si>
    <t xml:space="preserve">Have it not be so admin heavy</t>
  </si>
  <si>
    <t xml:space="preserve">Pass the shift to a manager who does have access, when I don't</t>
  </si>
  <si>
    <t xml:space="preserve">Email the provider inbox and request a staff member</t>
  </si>
  <si>
    <t xml:space="preserve">Carlos</t>
  </si>
  <si>
    <t xml:space="preserve">Name a staff member I have in mind and ask them to put them into the portal for me</t>
  </si>
  <si>
    <t xml:space="preserve">Put the shift up using the portal when we cannot provide the staff from Northcott</t>
  </si>
  <si>
    <t xml:space="preserve">Sufi</t>
  </si>
  <si>
    <t xml:space="preserve">Send a large list of shifts for the following 4 weeks and ask them to help cover them</t>
  </si>
  <si>
    <t xml:space="preserve">Fill the shift when a support worker rings at 6 o'clock for a shift starting at 9, the worst nightmare we have</t>
  </si>
  <si>
    <t xml:space="preserve">Take it on at 8 o'clock when the Northcott rostering team hands it over</t>
  </si>
  <si>
    <t xml:space="preserve">Ring back and forth, and contact the Hireup rostering team, to get the shift filled</t>
  </si>
  <si>
    <t xml:space="preserve">Offer vacant shifts to other Northcott support workers first, then to Hireup or any other agency</t>
  </si>
  <si>
    <t xml:space="preserve">Fill shifts that are at least 3 hours</t>
  </si>
  <si>
    <t xml:space="preserve">Offer these jobs to other support workers who may be suitable for the job</t>
  </si>
  <si>
    <t xml:space="preserve">Offer the job to workers who have experience working in the site but haven't done an individual service job</t>
  </si>
  <si>
    <t xml:space="preserve">Offer a shift to more than 10 workers, because out of the 10 maybe 5 are already booked</t>
  </si>
  <si>
    <t xml:space="preserve">Find the support worker in the system, maybe using the search</t>
  </si>
  <si>
    <t xml:space="preserve">Save a worker and have them go into my team list</t>
  </si>
  <si>
    <t xml:space="preserve">Book the shift under the individual service account rather than SIL</t>
  </si>
  <si>
    <t xml:space="preserve">Stop SIL getting charged when the service was actually provided for the individual service</t>
  </si>
  <si>
    <t xml:space="preserve">Ask the Hireup rostering team to shift the booking to the individual service account</t>
  </si>
  <si>
    <t xml:space="preserve">Receive the invoice only for the individual service shifts, since it's segregated</t>
  </si>
  <si>
    <t xml:space="preserve">Follow the SIL master roster in a 4-week schedule and allocate staff who work partially SIL and partially individual service</t>
  </si>
  <si>
    <t xml:space="preserve">Roster support workers up to the service agreement end date</t>
  </si>
  <si>
    <t xml:space="preserve">See that a booking has been made, who has accepted it, and which other support workers it was offered to</t>
  </si>
  <si>
    <t xml:space="preserve">Go into the portal just to approve the shift</t>
  </si>
  <si>
    <t xml:space="preserve">Set up my SILs in the portal with a brief description of what we're looking for and the kind of participants at the group home</t>
  </si>
  <si>
    <t xml:space="preserve">Not also have to keep track of workers, message them, push jobs out and wait for responses</t>
  </si>
  <si>
    <t xml:space="preserve">Know what the platform can do, when training was one to one and more than a year ago</t>
  </si>
  <si>
    <t xml:space="preserve">Know a job post exists as an alternative to the booking request</t>
  </si>
  <si>
    <t xml:space="preserve">See a job post show on the dashboard the way a booking request does</t>
  </si>
  <si>
    <t xml:space="preserve">Aged care</t>
  </si>
  <si>
    <t xml:space="preserve">Cover the sickies on a daily basis, business as usual</t>
  </si>
  <si>
    <t xml:space="preserve">Suman</t>
  </si>
  <si>
    <t xml:space="preserve">Utilise our own resources, and if we cannot fulfil, flick an email to Hireup</t>
  </si>
  <si>
    <t xml:space="preserve">Get manager approval before reaching out to Hireup</t>
  </si>
  <si>
    <t xml:space="preserve">Flick an email to the Hireup internal scheduler, so I could buy some time and do something else</t>
  </si>
  <si>
    <t xml:space="preserve">Make sure all the information is in one email so you don't have to do back and forth</t>
  </si>
  <si>
    <t xml:space="preserve">Have someone booked within 10 minutes</t>
  </si>
  <si>
    <t xml:space="preserve">Identify whether the client has their own group of support workers and see whether one of them is available</t>
  </si>
  <si>
    <t xml:space="preserve">Find someone who has been to a client before, so they know the patterns or the routine of the client</t>
  </si>
  <si>
    <t xml:space="preserve">Just randomly ask anybody, if it's domestic assistance</t>
  </si>
  <si>
    <t xml:space="preserve">Reach out to a Vic support worker if I need someone in Vic</t>
  </si>
  <si>
    <t xml:space="preserve">Check the support worker has a Certificate III in individual support</t>
  </si>
  <si>
    <t xml:space="preserve">Not see support workers whose mandatory credentials have failed or need renewing</t>
  </si>
  <si>
    <t xml:space="preserve">Not rely on availability in the system, because they may change their mind</t>
  </si>
  <si>
    <t xml:space="preserve">Not worry whether the worker is already booked elsewhere, because the client would be flexible</t>
  </si>
  <si>
    <t xml:space="preserve">Send them the summary of care plan, what to expect during the service, so they're prepared</t>
  </si>
  <si>
    <t xml:space="preserve">Send associated risks, allergies, medication, the service instruction, and whether the client has pets in the house</t>
  </si>
  <si>
    <t xml:space="preserve">Provide the phone number in every request, in case there's no response to the home visit</t>
  </si>
  <si>
    <t xml:space="preserve">Message them through the Hireup portal</t>
  </si>
  <si>
    <t xml:space="preserve">See whether any workers have responded</t>
  </si>
  <si>
    <t xml:space="preserve">Send a group message when there are quite a few shifts available</t>
  </si>
  <si>
    <t xml:space="preserve">Have visibility of other regions and jump in when they don't have enough rostering officers</t>
  </si>
  <si>
    <t xml:space="preserve">Action a task that came through from a care manager, by its due date</t>
  </si>
  <si>
    <t xml:space="preserve">Reach out to the rostering lead when we couldn't understand or needed some help</t>
  </si>
  <si>
    <t xml:space="preserve">Make sure the master roster is okay and all the leaves are covered, a fortnight or a month ahead</t>
  </si>
  <si>
    <t xml:space="preserve">Cover the reactive space from 3 to 5, once the reactive officer finishes</t>
  </si>
  <si>
    <t xml:space="preserve">Know how fast the agency response is, the most important one</t>
  </si>
  <si>
    <t xml:space="preserve">Have a fast track to send a service request to a bunch of support workers within a couple of minutes</t>
  </si>
  <si>
    <t xml:space="preserve">Attend the training to see what we can learn about how to use it</t>
  </si>
  <si>
    <t xml:space="preserve">Not worry about budget remaining, because we're not creating a new service, just filling an existing one</t>
  </si>
  <si>
    <t xml:space="preserve">Job wording uses the participant's own terms of phrase from the transcripts. 'IA relevant' marks jobs that bear on where things live in the product. Yellow columns are for you.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</si>
</sst>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3"/>
    <col collapsed="false" customWidth="true" hidden="false" outlineLevel="0" max="5" min="5" style="0" width="30"/>
    <col collapsed="false" customWidth="true" hidden="false" outlineLevel="0" max="6" min="6" style="0" width="1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E4" s="3" t="s">
        <v>3</v>
      </c>
    </row>
    <row r="5" customFormat="false" ht="15" hidden="false" customHeight="false" outlineLevel="0" collapsed="false">
      <c r="A5" s="4" t="s">
        <v>4</v>
      </c>
      <c r="B5" s="4" t="s">
        <v>5</v>
      </c>
      <c r="C5" s="4" t="s">
        <v>6</v>
      </c>
      <c r="E5" s="4" t="s">
        <v>7</v>
      </c>
      <c r="F5" s="4" t="s">
        <v>5</v>
      </c>
    </row>
    <row r="6" customFormat="false" ht="15" hidden="false" customHeight="false" outlineLevel="0" collapsed="false">
      <c r="A6" s="5" t="s">
        <v>8</v>
      </c>
      <c r="B6" s="6" t="n">
        <f aca="false">COUNTIF('Jobs to be done'!$A:$A,$A6)</f>
        <v>63</v>
      </c>
      <c r="C6" s="6" t="n">
        <f aca="false">COUNTIFS('Jobs to be done'!$A:$A,$A6,'Jobs to be done'!$F:$F,"Yes")</f>
        <v>39</v>
      </c>
      <c r="E6" s="6" t="s">
        <v>9</v>
      </c>
      <c r="F6" s="6" t="n">
        <f aca="false">COUNTIF('Jobs to be done'!$C:$C,$E6)</f>
        <v>25</v>
      </c>
    </row>
    <row r="7" customFormat="false" ht="15" hidden="false" customHeight="false" outlineLevel="0" collapsed="false">
      <c r="A7" s="5" t="s">
        <v>10</v>
      </c>
      <c r="B7" s="6" t="n">
        <f aca="false">COUNTIF('Jobs to be done'!$A:$A,$A7)</f>
        <v>27</v>
      </c>
      <c r="C7" s="6" t="n">
        <f aca="false">COUNTIFS('Jobs to be done'!$A:$A,$A7,'Jobs to be done'!$F:$F,"Yes")</f>
        <v>16</v>
      </c>
      <c r="E7" s="6" t="s">
        <v>11</v>
      </c>
      <c r="F7" s="6" t="n">
        <f aca="false">COUNTIF('Jobs to be done'!$C:$C,$E7)</f>
        <v>26</v>
      </c>
    </row>
    <row r="8" customFormat="false" ht="15" hidden="false" customHeight="false" outlineLevel="0" collapsed="false">
      <c r="A8" s="5" t="s">
        <v>12</v>
      </c>
      <c r="B8" s="6" t="n">
        <f aca="false">COUNTIF('Jobs to be done'!$A:$A,$A8)</f>
        <v>29</v>
      </c>
      <c r="C8" s="6" t="n">
        <f aca="false">COUNTIFS('Jobs to be done'!$A:$A,$A8,'Jobs to be done'!$F:$F,"Yes")</f>
        <v>15</v>
      </c>
      <c r="E8" s="6" t="s">
        <v>13</v>
      </c>
      <c r="F8" s="6" t="n">
        <f aca="false">COUNTIF('Jobs to be done'!$C:$C,$E8)</f>
        <v>7</v>
      </c>
    </row>
    <row r="9" customFormat="false" ht="15" hidden="false" customHeight="false" outlineLevel="0" collapsed="false">
      <c r="A9" s="5" t="s">
        <v>14</v>
      </c>
      <c r="B9" s="5" t="n">
        <f aca="false">SUM(B6:B8)</f>
        <v>119</v>
      </c>
      <c r="C9" s="5" t="n">
        <f aca="false">SUM(C6:C8)</f>
        <v>70</v>
      </c>
      <c r="E9" s="6" t="s">
        <v>15</v>
      </c>
      <c r="F9" s="6" t="n">
        <f aca="false">COUNTIF('Jobs to be done'!$C:$C,$E9)</f>
        <v>10</v>
      </c>
    </row>
    <row r="10" customFormat="false" ht="15" hidden="false" customHeight="false" outlineLevel="0" collapsed="false">
      <c r="E10" s="6" t="s">
        <v>16</v>
      </c>
      <c r="F10" s="6" t="n">
        <f aca="false">COUNTIF('Jobs to be done'!$C:$C,$E10)</f>
        <v>3</v>
      </c>
    </row>
    <row r="11" customFormat="false" ht="15" hidden="false" customHeight="false" outlineLevel="0" collapsed="false">
      <c r="A11" s="3" t="s">
        <v>17</v>
      </c>
      <c r="E11" s="6" t="s">
        <v>18</v>
      </c>
      <c r="F11" s="6" t="n">
        <f aca="false">COUNTIF('Jobs to be done'!$C:$C,$E11)</f>
        <v>12</v>
      </c>
    </row>
    <row r="12" customFormat="false" ht="25.5" hidden="false" customHeight="true" outlineLevel="0" collapsed="false">
      <c r="A12" s="7" t="s">
        <v>19</v>
      </c>
      <c r="E12" s="6" t="s">
        <v>20</v>
      </c>
      <c r="F12" s="6" t="n">
        <f aca="false">COUNTIF('Jobs to be done'!$C:$C,$E12)</f>
        <v>7</v>
      </c>
    </row>
    <row r="13" customFormat="false" ht="25.5" hidden="false" customHeight="true" outlineLevel="0" collapsed="false">
      <c r="A13" s="7" t="s">
        <v>21</v>
      </c>
      <c r="E13" s="6" t="s">
        <v>22</v>
      </c>
      <c r="F13" s="6" t="n">
        <f aca="false">COUNTIF('Jobs to be done'!$C:$C,$E13)</f>
        <v>8</v>
      </c>
    </row>
    <row r="14" customFormat="false" ht="25.5" hidden="false" customHeight="true" outlineLevel="0" collapsed="false">
      <c r="A14" s="7" t="s">
        <v>23</v>
      </c>
      <c r="E14" s="6" t="s">
        <v>24</v>
      </c>
      <c r="F14" s="6" t="n">
        <f aca="false">COUNTIF('Jobs to be done'!$C:$C,$E14)</f>
        <v>7</v>
      </c>
    </row>
    <row r="15" customFormat="false" ht="25.5" hidden="false" customHeight="true" outlineLevel="0" collapsed="false">
      <c r="A15" s="7" t="s">
        <v>25</v>
      </c>
      <c r="E15" s="6" t="s">
        <v>26</v>
      </c>
      <c r="F15" s="6" t="n">
        <f aca="false">COUNTIF('Jobs to be done'!$C:$C,$E15)</f>
        <v>4</v>
      </c>
    </row>
    <row r="16" customFormat="false" ht="25.5" hidden="false" customHeight="true" outlineLevel="0" collapsed="false">
      <c r="A16" s="7" t="s">
        <v>27</v>
      </c>
      <c r="E16" s="6" t="s">
        <v>28</v>
      </c>
      <c r="F16" s="6" t="n">
        <f aca="false">COUNTIF('Jobs to be done'!$C:$C,$E16)</f>
        <v>3</v>
      </c>
    </row>
    <row r="17" customFormat="false" ht="15" hidden="false" customHeight="false" outlineLevel="0" collapsed="false">
      <c r="E17" s="6" t="s">
        <v>29</v>
      </c>
      <c r="F17" s="6" t="n">
        <f aca="false">COUNTIF('Jobs to be done'!$C:$C,$E17)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66"/>
    <col collapsed="false" customWidth="true" hidden="false" outlineLevel="0" max="5" min="5" style="0" width="11"/>
    <col collapsed="false" customWidth="true" hidden="false" outlineLevel="0" max="7" min="6" style="0" width="12"/>
    <col collapsed="false" customWidth="true" hidden="false" outlineLevel="0" max="8" min="8" style="0" width="30"/>
  </cols>
  <sheetData>
    <row r="1" customFormat="false" ht="15" hidden="false" customHeight="false" outlineLevel="0" collapsed="false">
      <c r="A1" s="8" t="s">
        <v>4</v>
      </c>
      <c r="B1" s="8" t="s">
        <v>30</v>
      </c>
      <c r="C1" s="8" t="s">
        <v>7</v>
      </c>
      <c r="D1" s="8" t="s">
        <v>31</v>
      </c>
      <c r="E1" s="8" t="s">
        <v>32</v>
      </c>
      <c r="F1" s="9" t="s">
        <v>6</v>
      </c>
      <c r="G1" s="9" t="s">
        <v>33</v>
      </c>
      <c r="H1" s="9" t="s">
        <v>17</v>
      </c>
    </row>
    <row r="2" customFormat="false" ht="33.75" hidden="false" customHeight="true" outlineLevel="0" collapsed="false">
      <c r="A2" s="10" t="s">
        <v>8</v>
      </c>
      <c r="B2" s="11" t="s">
        <v>34</v>
      </c>
      <c r="C2" s="11" t="s">
        <v>9</v>
      </c>
      <c r="D2" s="11" t="s">
        <v>35</v>
      </c>
      <c r="E2" s="11" t="s">
        <v>36</v>
      </c>
      <c r="F2" s="12" t="s">
        <v>37</v>
      </c>
      <c r="G2" s="13"/>
      <c r="H2" s="13"/>
    </row>
    <row r="3" customFormat="false" ht="33.75" hidden="false" customHeight="true" outlineLevel="0" collapsed="false">
      <c r="A3" s="10" t="s">
        <v>8</v>
      </c>
      <c r="B3" s="11" t="s">
        <v>34</v>
      </c>
      <c r="C3" s="11" t="s">
        <v>9</v>
      </c>
      <c r="D3" s="11" t="s">
        <v>38</v>
      </c>
      <c r="E3" s="11" t="s">
        <v>39</v>
      </c>
      <c r="F3" s="12" t="s">
        <v>37</v>
      </c>
      <c r="G3" s="13"/>
      <c r="H3" s="13"/>
    </row>
    <row r="4" customFormat="false" ht="33.75" hidden="false" customHeight="true" outlineLevel="0" collapsed="false">
      <c r="A4" s="10" t="s">
        <v>8</v>
      </c>
      <c r="B4" s="11" t="s">
        <v>34</v>
      </c>
      <c r="C4" s="11" t="s">
        <v>9</v>
      </c>
      <c r="D4" s="11" t="s">
        <v>40</v>
      </c>
      <c r="E4" s="11" t="s">
        <v>39</v>
      </c>
      <c r="F4" s="12" t="s">
        <v>41</v>
      </c>
      <c r="G4" s="13"/>
      <c r="H4" s="13"/>
    </row>
    <row r="5" customFormat="false" ht="33.75" hidden="false" customHeight="true" outlineLevel="0" collapsed="false">
      <c r="A5" s="10" t="s">
        <v>8</v>
      </c>
      <c r="B5" s="11" t="s">
        <v>34</v>
      </c>
      <c r="C5" s="11" t="s">
        <v>9</v>
      </c>
      <c r="D5" s="11" t="s">
        <v>42</v>
      </c>
      <c r="E5" s="11" t="s">
        <v>39</v>
      </c>
      <c r="F5" s="12" t="s">
        <v>37</v>
      </c>
      <c r="G5" s="13"/>
      <c r="H5" s="13"/>
    </row>
    <row r="6" customFormat="false" ht="33.75" hidden="false" customHeight="true" outlineLevel="0" collapsed="false">
      <c r="A6" s="10" t="s">
        <v>8</v>
      </c>
      <c r="B6" s="11" t="s">
        <v>34</v>
      </c>
      <c r="C6" s="11" t="s">
        <v>9</v>
      </c>
      <c r="D6" s="11" t="s">
        <v>43</v>
      </c>
      <c r="E6" s="11" t="s">
        <v>39</v>
      </c>
      <c r="F6" s="12" t="s">
        <v>37</v>
      </c>
      <c r="G6" s="13"/>
      <c r="H6" s="13"/>
    </row>
    <row r="7" customFormat="false" ht="33.75" hidden="false" customHeight="true" outlineLevel="0" collapsed="false">
      <c r="A7" s="10" t="s">
        <v>8</v>
      </c>
      <c r="B7" s="11" t="s">
        <v>34</v>
      </c>
      <c r="C7" s="11" t="s">
        <v>9</v>
      </c>
      <c r="D7" s="11" t="s">
        <v>44</v>
      </c>
      <c r="E7" s="11" t="s">
        <v>39</v>
      </c>
      <c r="F7" s="12" t="s">
        <v>41</v>
      </c>
      <c r="G7" s="13"/>
      <c r="H7" s="13"/>
    </row>
    <row r="8" customFormat="false" ht="33.75" hidden="false" customHeight="true" outlineLevel="0" collapsed="false">
      <c r="A8" s="10" t="s">
        <v>8</v>
      </c>
      <c r="B8" s="11" t="s">
        <v>34</v>
      </c>
      <c r="C8" s="11" t="s">
        <v>9</v>
      </c>
      <c r="D8" s="11" t="s">
        <v>45</v>
      </c>
      <c r="E8" s="11" t="s">
        <v>39</v>
      </c>
      <c r="F8" s="12" t="s">
        <v>41</v>
      </c>
      <c r="G8" s="13"/>
      <c r="H8" s="13"/>
    </row>
    <row r="9" customFormat="false" ht="33.75" hidden="false" customHeight="true" outlineLevel="0" collapsed="false">
      <c r="A9" s="10" t="s">
        <v>8</v>
      </c>
      <c r="B9" s="11" t="s">
        <v>34</v>
      </c>
      <c r="C9" s="11" t="s">
        <v>9</v>
      </c>
      <c r="D9" s="11" t="s">
        <v>46</v>
      </c>
      <c r="E9" s="11" t="s">
        <v>36</v>
      </c>
      <c r="F9" s="12" t="s">
        <v>37</v>
      </c>
      <c r="G9" s="13"/>
      <c r="H9" s="13"/>
    </row>
    <row r="10" customFormat="false" ht="33.75" hidden="false" customHeight="true" outlineLevel="0" collapsed="false">
      <c r="A10" s="10" t="s">
        <v>8</v>
      </c>
      <c r="B10" s="11" t="s">
        <v>34</v>
      </c>
      <c r="C10" s="11" t="s">
        <v>9</v>
      </c>
      <c r="D10" s="11" t="s">
        <v>47</v>
      </c>
      <c r="E10" s="11" t="s">
        <v>36</v>
      </c>
      <c r="F10" s="12" t="s">
        <v>37</v>
      </c>
      <c r="G10" s="13"/>
      <c r="H10" s="13"/>
    </row>
    <row r="11" customFormat="false" ht="33.75" hidden="false" customHeight="true" outlineLevel="0" collapsed="false">
      <c r="A11" s="10" t="s">
        <v>8</v>
      </c>
      <c r="B11" s="11" t="s">
        <v>34</v>
      </c>
      <c r="C11" s="11" t="s">
        <v>9</v>
      </c>
      <c r="D11" s="11" t="s">
        <v>48</v>
      </c>
      <c r="E11" s="11" t="s">
        <v>36</v>
      </c>
      <c r="F11" s="12" t="s">
        <v>41</v>
      </c>
      <c r="G11" s="13"/>
      <c r="H11" s="13"/>
    </row>
    <row r="12" customFormat="false" ht="33.75" hidden="false" customHeight="true" outlineLevel="0" collapsed="false">
      <c r="A12" s="10" t="s">
        <v>8</v>
      </c>
      <c r="B12" s="11" t="s">
        <v>34</v>
      </c>
      <c r="C12" s="11" t="s">
        <v>11</v>
      </c>
      <c r="D12" s="11" t="s">
        <v>49</v>
      </c>
      <c r="E12" s="11" t="s">
        <v>36</v>
      </c>
      <c r="F12" s="12" t="s">
        <v>37</v>
      </c>
      <c r="G12" s="13"/>
      <c r="H12" s="13"/>
    </row>
    <row r="13" customFormat="false" ht="33.75" hidden="false" customHeight="true" outlineLevel="0" collapsed="false">
      <c r="A13" s="10" t="s">
        <v>8</v>
      </c>
      <c r="B13" s="11" t="s">
        <v>34</v>
      </c>
      <c r="C13" s="11" t="s">
        <v>11</v>
      </c>
      <c r="D13" s="11" t="s">
        <v>50</v>
      </c>
      <c r="E13" s="11" t="s">
        <v>36</v>
      </c>
      <c r="F13" s="12" t="s">
        <v>37</v>
      </c>
      <c r="G13" s="13"/>
      <c r="H13" s="13"/>
    </row>
    <row r="14" customFormat="false" ht="33.75" hidden="false" customHeight="true" outlineLevel="0" collapsed="false">
      <c r="A14" s="10" t="s">
        <v>8</v>
      </c>
      <c r="B14" s="11" t="s">
        <v>34</v>
      </c>
      <c r="C14" s="11" t="s">
        <v>11</v>
      </c>
      <c r="D14" s="11" t="s">
        <v>51</v>
      </c>
      <c r="E14" s="11" t="s">
        <v>39</v>
      </c>
      <c r="F14" s="12" t="s">
        <v>37</v>
      </c>
      <c r="G14" s="13"/>
      <c r="H14" s="13"/>
    </row>
    <row r="15" customFormat="false" ht="33.75" hidden="false" customHeight="true" outlineLevel="0" collapsed="false">
      <c r="A15" s="10" t="s">
        <v>8</v>
      </c>
      <c r="B15" s="11" t="s">
        <v>34</v>
      </c>
      <c r="C15" s="11" t="s">
        <v>11</v>
      </c>
      <c r="D15" s="11" t="s">
        <v>52</v>
      </c>
      <c r="E15" s="11" t="s">
        <v>36</v>
      </c>
      <c r="F15" s="12" t="s">
        <v>37</v>
      </c>
      <c r="G15" s="13"/>
      <c r="H15" s="13"/>
    </row>
    <row r="16" customFormat="false" ht="33.75" hidden="false" customHeight="true" outlineLevel="0" collapsed="false">
      <c r="A16" s="10" t="s">
        <v>8</v>
      </c>
      <c r="B16" s="11" t="s">
        <v>34</v>
      </c>
      <c r="C16" s="11" t="s">
        <v>11</v>
      </c>
      <c r="D16" s="11" t="s">
        <v>53</v>
      </c>
      <c r="E16" s="11" t="s">
        <v>36</v>
      </c>
      <c r="F16" s="12" t="s">
        <v>37</v>
      </c>
      <c r="G16" s="13"/>
      <c r="H16" s="13"/>
    </row>
    <row r="17" customFormat="false" ht="33.75" hidden="false" customHeight="true" outlineLevel="0" collapsed="false">
      <c r="A17" s="10" t="s">
        <v>8</v>
      </c>
      <c r="B17" s="11" t="s">
        <v>34</v>
      </c>
      <c r="C17" s="11" t="s">
        <v>11</v>
      </c>
      <c r="D17" s="11" t="s">
        <v>54</v>
      </c>
      <c r="E17" s="11" t="s">
        <v>36</v>
      </c>
      <c r="F17" s="12" t="s">
        <v>37</v>
      </c>
      <c r="G17" s="13"/>
      <c r="H17" s="13"/>
    </row>
    <row r="18" customFormat="false" ht="33.75" hidden="false" customHeight="true" outlineLevel="0" collapsed="false">
      <c r="A18" s="10" t="s">
        <v>8</v>
      </c>
      <c r="B18" s="11" t="s">
        <v>34</v>
      </c>
      <c r="C18" s="11" t="s">
        <v>11</v>
      </c>
      <c r="D18" s="11" t="s">
        <v>55</v>
      </c>
      <c r="E18" s="11" t="s">
        <v>36</v>
      </c>
      <c r="F18" s="12" t="s">
        <v>37</v>
      </c>
      <c r="G18" s="13"/>
      <c r="H18" s="13"/>
    </row>
    <row r="19" customFormat="false" ht="33.75" hidden="false" customHeight="true" outlineLevel="0" collapsed="false">
      <c r="A19" s="10" t="s">
        <v>8</v>
      </c>
      <c r="B19" s="11" t="s">
        <v>34</v>
      </c>
      <c r="C19" s="11" t="s">
        <v>11</v>
      </c>
      <c r="D19" s="11" t="s">
        <v>56</v>
      </c>
      <c r="E19" s="11" t="s">
        <v>36</v>
      </c>
      <c r="F19" s="12" t="s">
        <v>37</v>
      </c>
      <c r="G19" s="13"/>
      <c r="H19" s="13"/>
    </row>
    <row r="20" customFormat="false" ht="33.75" hidden="false" customHeight="true" outlineLevel="0" collapsed="false">
      <c r="A20" s="10" t="s">
        <v>8</v>
      </c>
      <c r="B20" s="11" t="s">
        <v>34</v>
      </c>
      <c r="C20" s="11" t="s">
        <v>11</v>
      </c>
      <c r="D20" s="11" t="s">
        <v>57</v>
      </c>
      <c r="E20" s="11" t="s">
        <v>36</v>
      </c>
      <c r="F20" s="12" t="s">
        <v>41</v>
      </c>
      <c r="G20" s="13"/>
      <c r="H20" s="13"/>
    </row>
    <row r="21" customFormat="false" ht="33.75" hidden="false" customHeight="true" outlineLevel="0" collapsed="false">
      <c r="A21" s="10" t="s">
        <v>8</v>
      </c>
      <c r="B21" s="11" t="s">
        <v>34</v>
      </c>
      <c r="C21" s="11" t="s">
        <v>11</v>
      </c>
      <c r="D21" s="11" t="s">
        <v>58</v>
      </c>
      <c r="E21" s="11" t="s">
        <v>36</v>
      </c>
      <c r="F21" s="12" t="s">
        <v>41</v>
      </c>
      <c r="G21" s="13"/>
      <c r="H21" s="13"/>
    </row>
    <row r="22" customFormat="false" ht="33.75" hidden="false" customHeight="true" outlineLevel="0" collapsed="false">
      <c r="A22" s="10" t="s">
        <v>8</v>
      </c>
      <c r="B22" s="11" t="s">
        <v>34</v>
      </c>
      <c r="C22" s="11" t="s">
        <v>11</v>
      </c>
      <c r="D22" s="11" t="s">
        <v>59</v>
      </c>
      <c r="E22" s="11" t="s">
        <v>36</v>
      </c>
      <c r="F22" s="12" t="s">
        <v>37</v>
      </c>
      <c r="G22" s="13"/>
      <c r="H22" s="13"/>
    </row>
    <row r="23" customFormat="false" ht="33.75" hidden="false" customHeight="true" outlineLevel="0" collapsed="false">
      <c r="A23" s="10" t="s">
        <v>8</v>
      </c>
      <c r="B23" s="11" t="s">
        <v>34</v>
      </c>
      <c r="C23" s="11" t="s">
        <v>11</v>
      </c>
      <c r="D23" s="11" t="s">
        <v>60</v>
      </c>
      <c r="E23" s="11" t="s">
        <v>36</v>
      </c>
      <c r="F23" s="12" t="s">
        <v>37</v>
      </c>
      <c r="G23" s="13"/>
      <c r="H23" s="13"/>
    </row>
    <row r="24" customFormat="false" ht="33.75" hidden="false" customHeight="true" outlineLevel="0" collapsed="false">
      <c r="A24" s="10" t="s">
        <v>8</v>
      </c>
      <c r="B24" s="11" t="s">
        <v>34</v>
      </c>
      <c r="C24" s="11" t="s">
        <v>11</v>
      </c>
      <c r="D24" s="11" t="s">
        <v>61</v>
      </c>
      <c r="E24" s="11" t="s">
        <v>39</v>
      </c>
      <c r="F24" s="12" t="s">
        <v>37</v>
      </c>
      <c r="G24" s="13"/>
      <c r="H24" s="13"/>
    </row>
    <row r="25" customFormat="false" ht="33.75" hidden="false" customHeight="true" outlineLevel="0" collapsed="false">
      <c r="A25" s="10" t="s">
        <v>8</v>
      </c>
      <c r="B25" s="11" t="s">
        <v>34</v>
      </c>
      <c r="C25" s="11" t="s">
        <v>13</v>
      </c>
      <c r="D25" s="11" t="s">
        <v>62</v>
      </c>
      <c r="E25" s="11" t="s">
        <v>36</v>
      </c>
      <c r="F25" s="12" t="s">
        <v>37</v>
      </c>
      <c r="G25" s="13"/>
      <c r="H25" s="13"/>
    </row>
    <row r="26" customFormat="false" ht="33.75" hidden="false" customHeight="true" outlineLevel="0" collapsed="false">
      <c r="A26" s="10" t="s">
        <v>8</v>
      </c>
      <c r="B26" s="11" t="s">
        <v>34</v>
      </c>
      <c r="C26" s="11" t="s">
        <v>13</v>
      </c>
      <c r="D26" s="11" t="s">
        <v>63</v>
      </c>
      <c r="E26" s="11" t="s">
        <v>36</v>
      </c>
      <c r="F26" s="12" t="s">
        <v>37</v>
      </c>
      <c r="G26" s="13"/>
      <c r="H26" s="13"/>
    </row>
    <row r="27" customFormat="false" ht="33.75" hidden="false" customHeight="true" outlineLevel="0" collapsed="false">
      <c r="A27" s="10" t="s">
        <v>8</v>
      </c>
      <c r="B27" s="11" t="s">
        <v>34</v>
      </c>
      <c r="C27" s="11" t="s">
        <v>13</v>
      </c>
      <c r="D27" s="11" t="s">
        <v>64</v>
      </c>
      <c r="E27" s="11" t="s">
        <v>39</v>
      </c>
      <c r="F27" s="12" t="s">
        <v>41</v>
      </c>
      <c r="G27" s="13"/>
      <c r="H27" s="13"/>
    </row>
    <row r="28" customFormat="false" ht="33.75" hidden="false" customHeight="true" outlineLevel="0" collapsed="false">
      <c r="A28" s="10" t="s">
        <v>8</v>
      </c>
      <c r="B28" s="11" t="s">
        <v>34</v>
      </c>
      <c r="C28" s="11" t="s">
        <v>13</v>
      </c>
      <c r="D28" s="11" t="s">
        <v>65</v>
      </c>
      <c r="E28" s="11" t="s">
        <v>39</v>
      </c>
      <c r="F28" s="12" t="s">
        <v>37</v>
      </c>
      <c r="G28" s="13"/>
      <c r="H28" s="13"/>
    </row>
    <row r="29" customFormat="false" ht="33.75" hidden="false" customHeight="true" outlineLevel="0" collapsed="false">
      <c r="A29" s="10" t="s">
        <v>8</v>
      </c>
      <c r="B29" s="11" t="s">
        <v>34</v>
      </c>
      <c r="C29" s="11" t="s">
        <v>13</v>
      </c>
      <c r="D29" s="11" t="s">
        <v>66</v>
      </c>
      <c r="E29" s="11" t="s">
        <v>36</v>
      </c>
      <c r="F29" s="12" t="s">
        <v>37</v>
      </c>
      <c r="G29" s="13"/>
      <c r="H29" s="13"/>
    </row>
    <row r="30" customFormat="false" ht="33.75" hidden="false" customHeight="true" outlineLevel="0" collapsed="false">
      <c r="A30" s="10" t="s">
        <v>8</v>
      </c>
      <c r="B30" s="11" t="s">
        <v>34</v>
      </c>
      <c r="C30" s="11" t="s">
        <v>13</v>
      </c>
      <c r="D30" s="11" t="s">
        <v>67</v>
      </c>
      <c r="E30" s="11" t="s">
        <v>36</v>
      </c>
      <c r="F30" s="12" t="s">
        <v>37</v>
      </c>
      <c r="G30" s="13"/>
      <c r="H30" s="13"/>
    </row>
    <row r="31" customFormat="false" ht="33.75" hidden="false" customHeight="true" outlineLevel="0" collapsed="false">
      <c r="A31" s="10" t="s">
        <v>8</v>
      </c>
      <c r="B31" s="11" t="s">
        <v>34</v>
      </c>
      <c r="C31" s="11" t="s">
        <v>13</v>
      </c>
      <c r="D31" s="11" t="s">
        <v>68</v>
      </c>
      <c r="E31" s="11" t="s">
        <v>36</v>
      </c>
      <c r="F31" s="12" t="s">
        <v>41</v>
      </c>
      <c r="G31" s="13"/>
      <c r="H31" s="13"/>
    </row>
    <row r="32" customFormat="false" ht="33.75" hidden="false" customHeight="true" outlineLevel="0" collapsed="false">
      <c r="A32" s="10" t="s">
        <v>8</v>
      </c>
      <c r="B32" s="11" t="s">
        <v>34</v>
      </c>
      <c r="C32" s="11" t="s">
        <v>15</v>
      </c>
      <c r="D32" s="11" t="s">
        <v>69</v>
      </c>
      <c r="E32" s="11" t="s">
        <v>36</v>
      </c>
      <c r="F32" s="12" t="s">
        <v>37</v>
      </c>
      <c r="G32" s="13"/>
      <c r="H32" s="13"/>
    </row>
    <row r="33" customFormat="false" ht="33.75" hidden="false" customHeight="true" outlineLevel="0" collapsed="false">
      <c r="A33" s="10" t="s">
        <v>8</v>
      </c>
      <c r="B33" s="11" t="s">
        <v>34</v>
      </c>
      <c r="C33" s="11" t="s">
        <v>15</v>
      </c>
      <c r="D33" s="11" t="s">
        <v>70</v>
      </c>
      <c r="E33" s="11" t="s">
        <v>36</v>
      </c>
      <c r="F33" s="12" t="s">
        <v>37</v>
      </c>
      <c r="G33" s="13"/>
      <c r="H33" s="13"/>
    </row>
    <row r="34" customFormat="false" ht="33.75" hidden="false" customHeight="true" outlineLevel="0" collapsed="false">
      <c r="A34" s="10" t="s">
        <v>8</v>
      </c>
      <c r="B34" s="11" t="s">
        <v>34</v>
      </c>
      <c r="C34" s="11" t="s">
        <v>15</v>
      </c>
      <c r="D34" s="11" t="s">
        <v>71</v>
      </c>
      <c r="E34" s="11" t="s">
        <v>36</v>
      </c>
      <c r="F34" s="12" t="s">
        <v>37</v>
      </c>
      <c r="G34" s="13"/>
      <c r="H34" s="13"/>
    </row>
    <row r="35" customFormat="false" ht="33.75" hidden="false" customHeight="true" outlineLevel="0" collapsed="false">
      <c r="A35" s="10" t="s">
        <v>8</v>
      </c>
      <c r="B35" s="11" t="s">
        <v>34</v>
      </c>
      <c r="C35" s="11" t="s">
        <v>15</v>
      </c>
      <c r="D35" s="11" t="s">
        <v>72</v>
      </c>
      <c r="E35" s="11" t="s">
        <v>36</v>
      </c>
      <c r="F35" s="12" t="s">
        <v>41</v>
      </c>
      <c r="G35" s="13"/>
      <c r="H35" s="13"/>
    </row>
    <row r="36" customFormat="false" ht="33.75" hidden="false" customHeight="true" outlineLevel="0" collapsed="false">
      <c r="A36" s="10" t="s">
        <v>8</v>
      </c>
      <c r="B36" s="11" t="s">
        <v>34</v>
      </c>
      <c r="C36" s="11" t="s">
        <v>16</v>
      </c>
      <c r="D36" s="11" t="s">
        <v>73</v>
      </c>
      <c r="E36" s="11" t="s">
        <v>36</v>
      </c>
      <c r="F36" s="12" t="s">
        <v>41</v>
      </c>
      <c r="G36" s="13"/>
      <c r="H36" s="13"/>
    </row>
    <row r="37" customFormat="false" ht="33.75" hidden="false" customHeight="true" outlineLevel="0" collapsed="false">
      <c r="A37" s="10" t="s">
        <v>8</v>
      </c>
      <c r="B37" s="11" t="s">
        <v>34</v>
      </c>
      <c r="C37" s="11" t="s">
        <v>16</v>
      </c>
      <c r="D37" s="11" t="s">
        <v>74</v>
      </c>
      <c r="E37" s="11" t="s">
        <v>36</v>
      </c>
      <c r="F37" s="12" t="s">
        <v>41</v>
      </c>
      <c r="G37" s="13"/>
      <c r="H37" s="13"/>
    </row>
    <row r="38" customFormat="false" ht="33.75" hidden="false" customHeight="true" outlineLevel="0" collapsed="false">
      <c r="A38" s="10" t="s">
        <v>8</v>
      </c>
      <c r="B38" s="11" t="s">
        <v>34</v>
      </c>
      <c r="C38" s="11" t="s">
        <v>16</v>
      </c>
      <c r="D38" s="11" t="s">
        <v>75</v>
      </c>
      <c r="E38" s="11" t="s">
        <v>36</v>
      </c>
      <c r="F38" s="12" t="s">
        <v>37</v>
      </c>
      <c r="G38" s="13"/>
      <c r="H38" s="13"/>
    </row>
    <row r="39" customFormat="false" ht="33.75" hidden="false" customHeight="true" outlineLevel="0" collapsed="false">
      <c r="A39" s="10" t="s">
        <v>8</v>
      </c>
      <c r="B39" s="11" t="s">
        <v>34</v>
      </c>
      <c r="C39" s="11" t="s">
        <v>18</v>
      </c>
      <c r="D39" s="11" t="s">
        <v>76</v>
      </c>
      <c r="E39" s="11" t="s">
        <v>36</v>
      </c>
      <c r="F39" s="12" t="s">
        <v>37</v>
      </c>
      <c r="G39" s="13"/>
      <c r="H39" s="13"/>
    </row>
    <row r="40" customFormat="false" ht="33.75" hidden="false" customHeight="true" outlineLevel="0" collapsed="false">
      <c r="A40" s="10" t="s">
        <v>8</v>
      </c>
      <c r="B40" s="11" t="s">
        <v>34</v>
      </c>
      <c r="C40" s="11" t="s">
        <v>18</v>
      </c>
      <c r="D40" s="11" t="s">
        <v>77</v>
      </c>
      <c r="E40" s="11" t="s">
        <v>36</v>
      </c>
      <c r="F40" s="12" t="s">
        <v>37</v>
      </c>
      <c r="G40" s="13"/>
      <c r="H40" s="13"/>
    </row>
    <row r="41" customFormat="false" ht="33.75" hidden="false" customHeight="true" outlineLevel="0" collapsed="false">
      <c r="A41" s="10" t="s">
        <v>8</v>
      </c>
      <c r="B41" s="11" t="s">
        <v>34</v>
      </c>
      <c r="C41" s="11" t="s">
        <v>18</v>
      </c>
      <c r="D41" s="11" t="s">
        <v>78</v>
      </c>
      <c r="E41" s="11" t="s">
        <v>36</v>
      </c>
      <c r="F41" s="12" t="s">
        <v>37</v>
      </c>
      <c r="G41" s="13"/>
      <c r="H41" s="13"/>
    </row>
    <row r="42" customFormat="false" ht="33.75" hidden="false" customHeight="true" outlineLevel="0" collapsed="false">
      <c r="A42" s="10" t="s">
        <v>8</v>
      </c>
      <c r="B42" s="11" t="s">
        <v>34</v>
      </c>
      <c r="C42" s="11" t="s">
        <v>18</v>
      </c>
      <c r="D42" s="11" t="s">
        <v>79</v>
      </c>
      <c r="E42" s="11" t="s">
        <v>36</v>
      </c>
      <c r="F42" s="12" t="s">
        <v>37</v>
      </c>
      <c r="G42" s="13"/>
      <c r="H42" s="13"/>
    </row>
    <row r="43" customFormat="false" ht="33.75" hidden="false" customHeight="true" outlineLevel="0" collapsed="false">
      <c r="A43" s="10" t="s">
        <v>8</v>
      </c>
      <c r="B43" s="11" t="s">
        <v>34</v>
      </c>
      <c r="C43" s="11" t="s">
        <v>18</v>
      </c>
      <c r="D43" s="11" t="s">
        <v>80</v>
      </c>
      <c r="E43" s="11" t="s">
        <v>36</v>
      </c>
      <c r="F43" s="12" t="s">
        <v>37</v>
      </c>
      <c r="G43" s="13"/>
      <c r="H43" s="13"/>
    </row>
    <row r="44" customFormat="false" ht="33.75" hidden="false" customHeight="true" outlineLevel="0" collapsed="false">
      <c r="A44" s="10" t="s">
        <v>8</v>
      </c>
      <c r="B44" s="11" t="s">
        <v>34</v>
      </c>
      <c r="C44" s="11" t="s">
        <v>18</v>
      </c>
      <c r="D44" s="11" t="s">
        <v>81</v>
      </c>
      <c r="E44" s="11" t="s">
        <v>36</v>
      </c>
      <c r="F44" s="12" t="s">
        <v>37</v>
      </c>
      <c r="G44" s="13"/>
      <c r="H44" s="13"/>
    </row>
    <row r="45" customFormat="false" ht="33.75" hidden="false" customHeight="true" outlineLevel="0" collapsed="false">
      <c r="A45" s="10" t="s">
        <v>8</v>
      </c>
      <c r="B45" s="11" t="s">
        <v>34</v>
      </c>
      <c r="C45" s="11" t="s">
        <v>18</v>
      </c>
      <c r="D45" s="11" t="s">
        <v>82</v>
      </c>
      <c r="E45" s="11" t="s">
        <v>36</v>
      </c>
      <c r="F45" s="12" t="s">
        <v>37</v>
      </c>
      <c r="G45" s="13"/>
      <c r="H45" s="13"/>
    </row>
    <row r="46" customFormat="false" ht="33.75" hidden="false" customHeight="true" outlineLevel="0" collapsed="false">
      <c r="A46" s="10" t="s">
        <v>8</v>
      </c>
      <c r="B46" s="11" t="s">
        <v>34</v>
      </c>
      <c r="C46" s="11" t="s">
        <v>20</v>
      </c>
      <c r="D46" s="11" t="s">
        <v>83</v>
      </c>
      <c r="E46" s="11" t="s">
        <v>39</v>
      </c>
      <c r="F46" s="12" t="s">
        <v>41</v>
      </c>
      <c r="G46" s="13"/>
      <c r="H46" s="13"/>
    </row>
    <row r="47" customFormat="false" ht="33.75" hidden="false" customHeight="true" outlineLevel="0" collapsed="false">
      <c r="A47" s="10" t="s">
        <v>8</v>
      </c>
      <c r="B47" s="11" t="s">
        <v>34</v>
      </c>
      <c r="C47" s="11" t="s">
        <v>20</v>
      </c>
      <c r="D47" s="11" t="s">
        <v>84</v>
      </c>
      <c r="E47" s="11" t="s">
        <v>39</v>
      </c>
      <c r="F47" s="12" t="s">
        <v>41</v>
      </c>
      <c r="G47" s="13"/>
      <c r="H47" s="13"/>
    </row>
    <row r="48" customFormat="false" ht="33.75" hidden="false" customHeight="true" outlineLevel="0" collapsed="false">
      <c r="A48" s="10" t="s">
        <v>8</v>
      </c>
      <c r="B48" s="11" t="s">
        <v>34</v>
      </c>
      <c r="C48" s="11" t="s">
        <v>20</v>
      </c>
      <c r="D48" s="11" t="s">
        <v>85</v>
      </c>
      <c r="E48" s="11" t="s">
        <v>39</v>
      </c>
      <c r="F48" s="12" t="s">
        <v>41</v>
      </c>
      <c r="G48" s="13"/>
      <c r="H48" s="13"/>
    </row>
    <row r="49" customFormat="false" ht="33.75" hidden="false" customHeight="true" outlineLevel="0" collapsed="false">
      <c r="A49" s="10" t="s">
        <v>8</v>
      </c>
      <c r="B49" s="11" t="s">
        <v>34</v>
      </c>
      <c r="C49" s="11" t="s">
        <v>22</v>
      </c>
      <c r="D49" s="11" t="s">
        <v>86</v>
      </c>
      <c r="E49" s="11" t="s">
        <v>36</v>
      </c>
      <c r="F49" s="12" t="s">
        <v>37</v>
      </c>
      <c r="G49" s="13"/>
      <c r="H49" s="13"/>
    </row>
    <row r="50" customFormat="false" ht="33.75" hidden="false" customHeight="true" outlineLevel="0" collapsed="false">
      <c r="A50" s="10" t="s">
        <v>8</v>
      </c>
      <c r="B50" s="11" t="s">
        <v>34</v>
      </c>
      <c r="C50" s="11" t="s">
        <v>22</v>
      </c>
      <c r="D50" s="11" t="s">
        <v>87</v>
      </c>
      <c r="E50" s="11" t="s">
        <v>36</v>
      </c>
      <c r="F50" s="12" t="s">
        <v>37</v>
      </c>
      <c r="G50" s="13"/>
      <c r="H50" s="13"/>
    </row>
    <row r="51" customFormat="false" ht="33.75" hidden="false" customHeight="true" outlineLevel="0" collapsed="false">
      <c r="A51" s="10" t="s">
        <v>8</v>
      </c>
      <c r="B51" s="11" t="s">
        <v>34</v>
      </c>
      <c r="C51" s="11" t="s">
        <v>22</v>
      </c>
      <c r="D51" s="11" t="s">
        <v>88</v>
      </c>
      <c r="E51" s="11" t="s">
        <v>39</v>
      </c>
      <c r="F51" s="12" t="s">
        <v>41</v>
      </c>
      <c r="G51" s="13"/>
      <c r="H51" s="13"/>
    </row>
    <row r="52" customFormat="false" ht="33.75" hidden="false" customHeight="true" outlineLevel="0" collapsed="false">
      <c r="A52" s="10" t="s">
        <v>8</v>
      </c>
      <c r="B52" s="11" t="s">
        <v>34</v>
      </c>
      <c r="C52" s="11" t="s">
        <v>22</v>
      </c>
      <c r="D52" s="11" t="s">
        <v>89</v>
      </c>
      <c r="E52" s="11" t="s">
        <v>39</v>
      </c>
      <c r="F52" s="12" t="s">
        <v>41</v>
      </c>
      <c r="G52" s="13"/>
      <c r="H52" s="13"/>
    </row>
    <row r="53" customFormat="false" ht="33.75" hidden="false" customHeight="true" outlineLevel="0" collapsed="false">
      <c r="A53" s="10" t="s">
        <v>8</v>
      </c>
      <c r="B53" s="11" t="s">
        <v>34</v>
      </c>
      <c r="C53" s="11" t="s">
        <v>24</v>
      </c>
      <c r="D53" s="11" t="s">
        <v>90</v>
      </c>
      <c r="E53" s="11" t="s">
        <v>36</v>
      </c>
      <c r="F53" s="12" t="s">
        <v>41</v>
      </c>
      <c r="G53" s="13"/>
      <c r="H53" s="13"/>
    </row>
    <row r="54" customFormat="false" ht="33.75" hidden="false" customHeight="true" outlineLevel="0" collapsed="false">
      <c r="A54" s="10" t="s">
        <v>8</v>
      </c>
      <c r="B54" s="11" t="s">
        <v>34</v>
      </c>
      <c r="C54" s="11" t="s">
        <v>24</v>
      </c>
      <c r="D54" s="11" t="s">
        <v>91</v>
      </c>
      <c r="E54" s="11" t="s">
        <v>36</v>
      </c>
      <c r="F54" s="12" t="s">
        <v>37</v>
      </c>
      <c r="G54" s="13"/>
      <c r="H54" s="13"/>
    </row>
    <row r="55" customFormat="false" ht="33.75" hidden="false" customHeight="true" outlineLevel="0" collapsed="false">
      <c r="A55" s="10" t="s">
        <v>8</v>
      </c>
      <c r="B55" s="11" t="s">
        <v>34</v>
      </c>
      <c r="C55" s="11" t="s">
        <v>24</v>
      </c>
      <c r="D55" s="11" t="s">
        <v>92</v>
      </c>
      <c r="E55" s="11" t="s">
        <v>36</v>
      </c>
      <c r="F55" s="12" t="s">
        <v>41</v>
      </c>
      <c r="G55" s="13"/>
      <c r="H55" s="13"/>
    </row>
    <row r="56" customFormat="false" ht="33.75" hidden="false" customHeight="true" outlineLevel="0" collapsed="false">
      <c r="A56" s="10" t="s">
        <v>8</v>
      </c>
      <c r="B56" s="11" t="s">
        <v>34</v>
      </c>
      <c r="C56" s="11" t="s">
        <v>24</v>
      </c>
      <c r="D56" s="11" t="s">
        <v>93</v>
      </c>
      <c r="E56" s="11" t="s">
        <v>36</v>
      </c>
      <c r="F56" s="12" t="s">
        <v>41</v>
      </c>
      <c r="G56" s="13"/>
      <c r="H56" s="13"/>
    </row>
    <row r="57" customFormat="false" ht="33.75" hidden="false" customHeight="true" outlineLevel="0" collapsed="false">
      <c r="A57" s="10" t="s">
        <v>8</v>
      </c>
      <c r="B57" s="11" t="s">
        <v>34</v>
      </c>
      <c r="C57" s="11" t="s">
        <v>24</v>
      </c>
      <c r="D57" s="11" t="s">
        <v>94</v>
      </c>
      <c r="E57" s="11" t="s">
        <v>36</v>
      </c>
      <c r="F57" s="12" t="s">
        <v>41</v>
      </c>
      <c r="G57" s="13"/>
      <c r="H57" s="13"/>
    </row>
    <row r="58" customFormat="false" ht="33.75" hidden="false" customHeight="true" outlineLevel="0" collapsed="false">
      <c r="A58" s="10" t="s">
        <v>8</v>
      </c>
      <c r="B58" s="11" t="s">
        <v>34</v>
      </c>
      <c r="C58" s="11" t="s">
        <v>26</v>
      </c>
      <c r="D58" s="11" t="s">
        <v>95</v>
      </c>
      <c r="E58" s="11" t="s">
        <v>36</v>
      </c>
      <c r="F58" s="12" t="s">
        <v>37</v>
      </c>
      <c r="G58" s="13"/>
      <c r="H58" s="13"/>
    </row>
    <row r="59" customFormat="false" ht="33.75" hidden="false" customHeight="true" outlineLevel="0" collapsed="false">
      <c r="A59" s="10" t="s">
        <v>8</v>
      </c>
      <c r="B59" s="11" t="s">
        <v>34</v>
      </c>
      <c r="C59" s="11" t="s">
        <v>26</v>
      </c>
      <c r="D59" s="11" t="s">
        <v>96</v>
      </c>
      <c r="E59" s="11" t="s">
        <v>36</v>
      </c>
      <c r="F59" s="12" t="s">
        <v>37</v>
      </c>
      <c r="G59" s="13"/>
      <c r="H59" s="13"/>
    </row>
    <row r="60" customFormat="false" ht="33.75" hidden="false" customHeight="true" outlineLevel="0" collapsed="false">
      <c r="A60" s="10" t="s">
        <v>8</v>
      </c>
      <c r="B60" s="11" t="s">
        <v>34</v>
      </c>
      <c r="C60" s="11" t="s">
        <v>26</v>
      </c>
      <c r="D60" s="11" t="s">
        <v>97</v>
      </c>
      <c r="E60" s="11" t="s">
        <v>36</v>
      </c>
      <c r="F60" s="12" t="s">
        <v>37</v>
      </c>
      <c r="G60" s="13"/>
      <c r="H60" s="13"/>
    </row>
    <row r="61" customFormat="false" ht="33.75" hidden="false" customHeight="true" outlineLevel="0" collapsed="false">
      <c r="A61" s="10" t="s">
        <v>8</v>
      </c>
      <c r="B61" s="11" t="s">
        <v>34</v>
      </c>
      <c r="C61" s="11" t="s">
        <v>26</v>
      </c>
      <c r="D61" s="11" t="s">
        <v>98</v>
      </c>
      <c r="E61" s="11" t="s">
        <v>36</v>
      </c>
      <c r="F61" s="12" t="s">
        <v>41</v>
      </c>
      <c r="G61" s="13"/>
      <c r="H61" s="13"/>
    </row>
    <row r="62" customFormat="false" ht="33.75" hidden="false" customHeight="true" outlineLevel="0" collapsed="false">
      <c r="A62" s="10" t="s">
        <v>8</v>
      </c>
      <c r="B62" s="11" t="s">
        <v>34</v>
      </c>
      <c r="C62" s="11" t="s">
        <v>29</v>
      </c>
      <c r="D62" s="11" t="s">
        <v>99</v>
      </c>
      <c r="E62" s="11" t="s">
        <v>39</v>
      </c>
      <c r="F62" s="12" t="s">
        <v>41</v>
      </c>
      <c r="G62" s="13"/>
      <c r="H62" s="13"/>
    </row>
    <row r="63" customFormat="false" ht="33.75" hidden="false" customHeight="true" outlineLevel="0" collapsed="false">
      <c r="A63" s="10" t="s">
        <v>8</v>
      </c>
      <c r="B63" s="11" t="s">
        <v>34</v>
      </c>
      <c r="C63" s="11" t="s">
        <v>29</v>
      </c>
      <c r="D63" s="11" t="s">
        <v>100</v>
      </c>
      <c r="E63" s="11" t="s">
        <v>39</v>
      </c>
      <c r="F63" s="12" t="s">
        <v>41</v>
      </c>
      <c r="G63" s="13"/>
      <c r="H63" s="13"/>
    </row>
    <row r="64" customFormat="false" ht="33.75" hidden="false" customHeight="true" outlineLevel="0" collapsed="false">
      <c r="A64" s="10" t="s">
        <v>8</v>
      </c>
      <c r="B64" s="11" t="s">
        <v>34</v>
      </c>
      <c r="C64" s="11" t="s">
        <v>29</v>
      </c>
      <c r="D64" s="11" t="s">
        <v>101</v>
      </c>
      <c r="E64" s="11" t="s">
        <v>39</v>
      </c>
      <c r="F64" s="12" t="s">
        <v>41</v>
      </c>
      <c r="G64" s="13"/>
      <c r="H64" s="13"/>
    </row>
    <row r="65" customFormat="false" ht="33.75" hidden="false" customHeight="true" outlineLevel="0" collapsed="false">
      <c r="A65" s="10" t="s">
        <v>10</v>
      </c>
      <c r="B65" s="11" t="s">
        <v>34</v>
      </c>
      <c r="C65" s="11" t="s">
        <v>9</v>
      </c>
      <c r="D65" s="11" t="s">
        <v>102</v>
      </c>
      <c r="E65" s="11" t="s">
        <v>103</v>
      </c>
      <c r="F65" s="12" t="s">
        <v>41</v>
      </c>
      <c r="G65" s="13"/>
      <c r="H65" s="13"/>
    </row>
    <row r="66" customFormat="false" ht="33.75" hidden="false" customHeight="true" outlineLevel="0" collapsed="false">
      <c r="A66" s="10" t="s">
        <v>10</v>
      </c>
      <c r="B66" s="11" t="s">
        <v>34</v>
      </c>
      <c r="C66" s="11" t="s">
        <v>9</v>
      </c>
      <c r="D66" s="11" t="s">
        <v>104</v>
      </c>
      <c r="E66" s="11" t="s">
        <v>103</v>
      </c>
      <c r="F66" s="12" t="s">
        <v>41</v>
      </c>
      <c r="G66" s="13"/>
      <c r="H66" s="13"/>
    </row>
    <row r="67" customFormat="false" ht="33.75" hidden="false" customHeight="true" outlineLevel="0" collapsed="false">
      <c r="A67" s="10" t="s">
        <v>10</v>
      </c>
      <c r="B67" s="11" t="s">
        <v>34</v>
      </c>
      <c r="C67" s="11" t="s">
        <v>9</v>
      </c>
      <c r="D67" s="11" t="s">
        <v>105</v>
      </c>
      <c r="E67" s="11" t="s">
        <v>106</v>
      </c>
      <c r="F67" s="12" t="s">
        <v>37</v>
      </c>
      <c r="G67" s="13"/>
      <c r="H67" s="13"/>
    </row>
    <row r="68" customFormat="false" ht="33.75" hidden="false" customHeight="true" outlineLevel="0" collapsed="false">
      <c r="A68" s="10" t="s">
        <v>10</v>
      </c>
      <c r="B68" s="11" t="s">
        <v>34</v>
      </c>
      <c r="C68" s="11" t="s">
        <v>9</v>
      </c>
      <c r="D68" s="11" t="s">
        <v>107</v>
      </c>
      <c r="E68" s="11" t="s">
        <v>103</v>
      </c>
      <c r="F68" s="12" t="s">
        <v>41</v>
      </c>
      <c r="G68" s="13"/>
      <c r="H68" s="13"/>
    </row>
    <row r="69" customFormat="false" ht="33.75" hidden="false" customHeight="true" outlineLevel="0" collapsed="false">
      <c r="A69" s="10" t="s">
        <v>10</v>
      </c>
      <c r="B69" s="11" t="s">
        <v>34</v>
      </c>
      <c r="C69" s="11" t="s">
        <v>9</v>
      </c>
      <c r="D69" s="11" t="s">
        <v>108</v>
      </c>
      <c r="E69" s="11" t="s">
        <v>106</v>
      </c>
      <c r="F69" s="12" t="s">
        <v>37</v>
      </c>
      <c r="G69" s="13"/>
      <c r="H69" s="13"/>
    </row>
    <row r="70" customFormat="false" ht="33.75" hidden="false" customHeight="true" outlineLevel="0" collapsed="false">
      <c r="A70" s="10" t="s">
        <v>10</v>
      </c>
      <c r="B70" s="11" t="s">
        <v>34</v>
      </c>
      <c r="C70" s="11" t="s">
        <v>9</v>
      </c>
      <c r="D70" s="11" t="s">
        <v>109</v>
      </c>
      <c r="E70" s="11" t="s">
        <v>106</v>
      </c>
      <c r="F70" s="12" t="s">
        <v>37</v>
      </c>
      <c r="G70" s="13"/>
      <c r="H70" s="13"/>
    </row>
    <row r="71" customFormat="false" ht="33.75" hidden="false" customHeight="true" outlineLevel="0" collapsed="false">
      <c r="A71" s="10" t="s">
        <v>10</v>
      </c>
      <c r="B71" s="11" t="s">
        <v>34</v>
      </c>
      <c r="C71" s="11" t="s">
        <v>9</v>
      </c>
      <c r="D71" s="11" t="s">
        <v>110</v>
      </c>
      <c r="E71" s="11" t="s">
        <v>106</v>
      </c>
      <c r="F71" s="12" t="s">
        <v>41</v>
      </c>
      <c r="G71" s="13"/>
      <c r="H71" s="13"/>
    </row>
    <row r="72" customFormat="false" ht="33.75" hidden="false" customHeight="true" outlineLevel="0" collapsed="false">
      <c r="A72" s="10" t="s">
        <v>10</v>
      </c>
      <c r="B72" s="11" t="s">
        <v>34</v>
      </c>
      <c r="C72" s="11" t="s">
        <v>9</v>
      </c>
      <c r="D72" s="11" t="s">
        <v>111</v>
      </c>
      <c r="E72" s="11" t="s">
        <v>106</v>
      </c>
      <c r="F72" s="12" t="s">
        <v>37</v>
      </c>
      <c r="G72" s="13"/>
      <c r="H72" s="13"/>
    </row>
    <row r="73" customFormat="false" ht="33.75" hidden="false" customHeight="true" outlineLevel="0" collapsed="false">
      <c r="A73" s="10" t="s">
        <v>10</v>
      </c>
      <c r="B73" s="11" t="s">
        <v>34</v>
      </c>
      <c r="C73" s="11" t="s">
        <v>9</v>
      </c>
      <c r="D73" s="11" t="s">
        <v>112</v>
      </c>
      <c r="E73" s="11" t="s">
        <v>106</v>
      </c>
      <c r="F73" s="12" t="s">
        <v>41</v>
      </c>
      <c r="G73" s="13"/>
      <c r="H73" s="13"/>
    </row>
    <row r="74" customFormat="false" ht="33.75" hidden="false" customHeight="true" outlineLevel="0" collapsed="false">
      <c r="A74" s="10" t="s">
        <v>10</v>
      </c>
      <c r="B74" s="11" t="s">
        <v>34</v>
      </c>
      <c r="C74" s="11" t="s">
        <v>11</v>
      </c>
      <c r="D74" s="11" t="s">
        <v>113</v>
      </c>
      <c r="E74" s="11" t="s">
        <v>106</v>
      </c>
      <c r="F74" s="12" t="s">
        <v>37</v>
      </c>
      <c r="G74" s="13"/>
      <c r="H74" s="13"/>
    </row>
    <row r="75" customFormat="false" ht="33.75" hidden="false" customHeight="true" outlineLevel="0" collapsed="false">
      <c r="A75" s="10" t="s">
        <v>10</v>
      </c>
      <c r="B75" s="11" t="s">
        <v>34</v>
      </c>
      <c r="C75" s="11" t="s">
        <v>11</v>
      </c>
      <c r="D75" s="11" t="s">
        <v>114</v>
      </c>
      <c r="E75" s="11" t="s">
        <v>106</v>
      </c>
      <c r="F75" s="12" t="s">
        <v>37</v>
      </c>
      <c r="G75" s="13"/>
      <c r="H75" s="13"/>
    </row>
    <row r="76" customFormat="false" ht="33.75" hidden="false" customHeight="true" outlineLevel="0" collapsed="false">
      <c r="A76" s="10" t="s">
        <v>10</v>
      </c>
      <c r="B76" s="11" t="s">
        <v>34</v>
      </c>
      <c r="C76" s="11" t="s">
        <v>11</v>
      </c>
      <c r="D76" s="11" t="s">
        <v>115</v>
      </c>
      <c r="E76" s="11" t="s">
        <v>106</v>
      </c>
      <c r="F76" s="12" t="s">
        <v>41</v>
      </c>
      <c r="G76" s="13"/>
      <c r="H76" s="13"/>
    </row>
    <row r="77" customFormat="false" ht="33.75" hidden="false" customHeight="true" outlineLevel="0" collapsed="false">
      <c r="A77" s="10" t="s">
        <v>10</v>
      </c>
      <c r="B77" s="11" t="s">
        <v>34</v>
      </c>
      <c r="C77" s="11" t="s">
        <v>11</v>
      </c>
      <c r="D77" s="11" t="s">
        <v>116</v>
      </c>
      <c r="E77" s="11" t="s">
        <v>106</v>
      </c>
      <c r="F77" s="12" t="s">
        <v>37</v>
      </c>
      <c r="G77" s="13"/>
      <c r="H77" s="13"/>
    </row>
    <row r="78" customFormat="false" ht="33.75" hidden="false" customHeight="true" outlineLevel="0" collapsed="false">
      <c r="A78" s="10" t="s">
        <v>10</v>
      </c>
      <c r="B78" s="11" t="s">
        <v>34</v>
      </c>
      <c r="C78" s="11" t="s">
        <v>11</v>
      </c>
      <c r="D78" s="11" t="s">
        <v>117</v>
      </c>
      <c r="E78" s="11" t="s">
        <v>106</v>
      </c>
      <c r="F78" s="12" t="s">
        <v>37</v>
      </c>
      <c r="G78" s="13"/>
      <c r="H78" s="13"/>
    </row>
    <row r="79" customFormat="false" ht="33.75" hidden="false" customHeight="true" outlineLevel="0" collapsed="false">
      <c r="A79" s="10" t="s">
        <v>10</v>
      </c>
      <c r="B79" s="11" t="s">
        <v>34</v>
      </c>
      <c r="C79" s="11" t="s">
        <v>22</v>
      </c>
      <c r="D79" s="11" t="s">
        <v>118</v>
      </c>
      <c r="E79" s="11" t="s">
        <v>106</v>
      </c>
      <c r="F79" s="12" t="s">
        <v>37</v>
      </c>
      <c r="G79" s="13"/>
      <c r="H79" s="13"/>
    </row>
    <row r="80" customFormat="false" ht="33.75" hidden="false" customHeight="true" outlineLevel="0" collapsed="false">
      <c r="A80" s="10" t="s">
        <v>10</v>
      </c>
      <c r="B80" s="11" t="s">
        <v>34</v>
      </c>
      <c r="C80" s="11" t="s">
        <v>22</v>
      </c>
      <c r="D80" s="11" t="s">
        <v>119</v>
      </c>
      <c r="E80" s="11" t="s">
        <v>106</v>
      </c>
      <c r="F80" s="12" t="s">
        <v>37</v>
      </c>
      <c r="G80" s="13"/>
      <c r="H80" s="13"/>
    </row>
    <row r="81" customFormat="false" ht="33.75" hidden="false" customHeight="true" outlineLevel="0" collapsed="false">
      <c r="A81" s="10" t="s">
        <v>10</v>
      </c>
      <c r="B81" s="11" t="s">
        <v>34</v>
      </c>
      <c r="C81" s="11" t="s">
        <v>22</v>
      </c>
      <c r="D81" s="11" t="s">
        <v>120</v>
      </c>
      <c r="E81" s="11" t="s">
        <v>106</v>
      </c>
      <c r="F81" s="12" t="s">
        <v>41</v>
      </c>
      <c r="G81" s="13"/>
      <c r="H81" s="13"/>
    </row>
    <row r="82" customFormat="false" ht="33.75" hidden="false" customHeight="true" outlineLevel="0" collapsed="false">
      <c r="A82" s="10" t="s">
        <v>10</v>
      </c>
      <c r="B82" s="11" t="s">
        <v>34</v>
      </c>
      <c r="C82" s="11" t="s">
        <v>22</v>
      </c>
      <c r="D82" s="11" t="s">
        <v>121</v>
      </c>
      <c r="E82" s="11" t="s">
        <v>106</v>
      </c>
      <c r="F82" s="12" t="s">
        <v>41</v>
      </c>
      <c r="G82" s="13"/>
      <c r="H82" s="13"/>
    </row>
    <row r="83" customFormat="false" ht="33.75" hidden="false" customHeight="true" outlineLevel="0" collapsed="false">
      <c r="A83" s="10" t="s">
        <v>10</v>
      </c>
      <c r="B83" s="11" t="s">
        <v>34</v>
      </c>
      <c r="C83" s="11" t="s">
        <v>20</v>
      </c>
      <c r="D83" s="11" t="s">
        <v>122</v>
      </c>
      <c r="E83" s="11" t="s">
        <v>106</v>
      </c>
      <c r="F83" s="12" t="s">
        <v>37</v>
      </c>
      <c r="G83" s="13"/>
      <c r="H83" s="13"/>
    </row>
    <row r="84" customFormat="false" ht="33.75" hidden="false" customHeight="true" outlineLevel="0" collapsed="false">
      <c r="A84" s="10" t="s">
        <v>10</v>
      </c>
      <c r="B84" s="11" t="s">
        <v>34</v>
      </c>
      <c r="C84" s="11" t="s">
        <v>20</v>
      </c>
      <c r="D84" s="11" t="s">
        <v>123</v>
      </c>
      <c r="E84" s="11" t="s">
        <v>106</v>
      </c>
      <c r="F84" s="12" t="s">
        <v>37</v>
      </c>
      <c r="G84" s="13"/>
      <c r="H84" s="13"/>
    </row>
    <row r="85" customFormat="false" ht="33.75" hidden="false" customHeight="true" outlineLevel="0" collapsed="false">
      <c r="A85" s="10" t="s">
        <v>10</v>
      </c>
      <c r="B85" s="11" t="s">
        <v>34</v>
      </c>
      <c r="C85" s="11" t="s">
        <v>18</v>
      </c>
      <c r="D85" s="11" t="s">
        <v>124</v>
      </c>
      <c r="E85" s="11" t="s">
        <v>106</v>
      </c>
      <c r="F85" s="12" t="s">
        <v>37</v>
      </c>
      <c r="G85" s="13"/>
      <c r="H85" s="13"/>
    </row>
    <row r="86" customFormat="false" ht="33.75" hidden="false" customHeight="true" outlineLevel="0" collapsed="false">
      <c r="A86" s="10" t="s">
        <v>10</v>
      </c>
      <c r="B86" s="11" t="s">
        <v>34</v>
      </c>
      <c r="C86" s="11" t="s">
        <v>18</v>
      </c>
      <c r="D86" s="11" t="s">
        <v>125</v>
      </c>
      <c r="E86" s="11" t="s">
        <v>103</v>
      </c>
      <c r="F86" s="12" t="s">
        <v>37</v>
      </c>
      <c r="G86" s="13"/>
      <c r="H86" s="13"/>
    </row>
    <row r="87" customFormat="false" ht="33.75" hidden="false" customHeight="true" outlineLevel="0" collapsed="false">
      <c r="A87" s="10" t="s">
        <v>10</v>
      </c>
      <c r="B87" s="11" t="s">
        <v>34</v>
      </c>
      <c r="C87" s="11" t="s">
        <v>24</v>
      </c>
      <c r="D87" s="11" t="s">
        <v>126</v>
      </c>
      <c r="E87" s="11" t="s">
        <v>103</v>
      </c>
      <c r="F87" s="12" t="s">
        <v>37</v>
      </c>
      <c r="G87" s="13"/>
      <c r="H87" s="13"/>
    </row>
    <row r="88" customFormat="false" ht="33.75" hidden="false" customHeight="true" outlineLevel="0" collapsed="false">
      <c r="A88" s="10" t="s">
        <v>10</v>
      </c>
      <c r="B88" s="11" t="s">
        <v>34</v>
      </c>
      <c r="C88" s="11" t="s">
        <v>24</v>
      </c>
      <c r="D88" s="11" t="s">
        <v>127</v>
      </c>
      <c r="E88" s="11" t="s">
        <v>103</v>
      </c>
      <c r="F88" s="12" t="s">
        <v>41</v>
      </c>
      <c r="G88" s="13"/>
      <c r="H88" s="13"/>
    </row>
    <row r="89" customFormat="false" ht="33.75" hidden="false" customHeight="true" outlineLevel="0" collapsed="false">
      <c r="A89" s="10" t="s">
        <v>10</v>
      </c>
      <c r="B89" s="11" t="s">
        <v>34</v>
      </c>
      <c r="C89" s="11" t="s">
        <v>28</v>
      </c>
      <c r="D89" s="11" t="s">
        <v>128</v>
      </c>
      <c r="E89" s="11" t="s">
        <v>106</v>
      </c>
      <c r="F89" s="12" t="s">
        <v>41</v>
      </c>
      <c r="G89" s="13"/>
      <c r="H89" s="13"/>
    </row>
    <row r="90" customFormat="false" ht="33.75" hidden="false" customHeight="true" outlineLevel="0" collapsed="false">
      <c r="A90" s="10" t="s">
        <v>10</v>
      </c>
      <c r="B90" s="11" t="s">
        <v>34</v>
      </c>
      <c r="C90" s="11" t="s">
        <v>28</v>
      </c>
      <c r="D90" s="11" t="s">
        <v>129</v>
      </c>
      <c r="E90" s="11" t="s">
        <v>106</v>
      </c>
      <c r="F90" s="12" t="s">
        <v>41</v>
      </c>
      <c r="G90" s="13"/>
      <c r="H90" s="13"/>
    </row>
    <row r="91" customFormat="false" ht="33.75" hidden="false" customHeight="true" outlineLevel="0" collapsed="false">
      <c r="A91" s="10" t="s">
        <v>10</v>
      </c>
      <c r="B91" s="11" t="s">
        <v>34</v>
      </c>
      <c r="C91" s="11" t="s">
        <v>28</v>
      </c>
      <c r="D91" s="11" t="s">
        <v>130</v>
      </c>
      <c r="E91" s="11" t="s">
        <v>106</v>
      </c>
      <c r="F91" s="12" t="s">
        <v>37</v>
      </c>
      <c r="G91" s="13"/>
      <c r="H91" s="13"/>
    </row>
    <row r="92" customFormat="false" ht="33.75" hidden="false" customHeight="true" outlineLevel="0" collapsed="false">
      <c r="A92" s="10" t="s">
        <v>12</v>
      </c>
      <c r="B92" s="11" t="s">
        <v>131</v>
      </c>
      <c r="C92" s="11" t="s">
        <v>9</v>
      </c>
      <c r="D92" s="11" t="s">
        <v>132</v>
      </c>
      <c r="E92" s="11" t="s">
        <v>133</v>
      </c>
      <c r="F92" s="12" t="s">
        <v>37</v>
      </c>
      <c r="G92" s="13"/>
      <c r="H92" s="13"/>
    </row>
    <row r="93" customFormat="false" ht="33.75" hidden="false" customHeight="true" outlineLevel="0" collapsed="false">
      <c r="A93" s="10" t="s">
        <v>12</v>
      </c>
      <c r="B93" s="11" t="s">
        <v>131</v>
      </c>
      <c r="C93" s="11" t="s">
        <v>9</v>
      </c>
      <c r="D93" s="11" t="s">
        <v>134</v>
      </c>
      <c r="E93" s="11" t="s">
        <v>133</v>
      </c>
      <c r="F93" s="12" t="s">
        <v>37</v>
      </c>
      <c r="G93" s="13"/>
      <c r="H93" s="13"/>
    </row>
    <row r="94" customFormat="false" ht="33.75" hidden="false" customHeight="true" outlineLevel="0" collapsed="false">
      <c r="A94" s="10" t="s">
        <v>12</v>
      </c>
      <c r="B94" s="11" t="s">
        <v>131</v>
      </c>
      <c r="C94" s="11" t="s">
        <v>9</v>
      </c>
      <c r="D94" s="11" t="s">
        <v>135</v>
      </c>
      <c r="E94" s="11" t="s">
        <v>133</v>
      </c>
      <c r="F94" s="12" t="s">
        <v>41</v>
      </c>
      <c r="G94" s="13"/>
      <c r="H94" s="13"/>
    </row>
    <row r="95" customFormat="false" ht="33.75" hidden="false" customHeight="true" outlineLevel="0" collapsed="false">
      <c r="A95" s="10" t="s">
        <v>12</v>
      </c>
      <c r="B95" s="11" t="s">
        <v>131</v>
      </c>
      <c r="C95" s="11" t="s">
        <v>9</v>
      </c>
      <c r="D95" s="11" t="s">
        <v>136</v>
      </c>
      <c r="E95" s="11" t="s">
        <v>133</v>
      </c>
      <c r="F95" s="12" t="s">
        <v>41</v>
      </c>
      <c r="G95" s="13"/>
      <c r="H95" s="13"/>
    </row>
    <row r="96" customFormat="false" ht="33.75" hidden="false" customHeight="true" outlineLevel="0" collapsed="false">
      <c r="A96" s="10" t="s">
        <v>12</v>
      </c>
      <c r="B96" s="11" t="s">
        <v>131</v>
      </c>
      <c r="C96" s="11" t="s">
        <v>9</v>
      </c>
      <c r="D96" s="11" t="s">
        <v>137</v>
      </c>
      <c r="E96" s="11" t="s">
        <v>133</v>
      </c>
      <c r="F96" s="12" t="s">
        <v>41</v>
      </c>
      <c r="G96" s="13"/>
      <c r="H96" s="13"/>
    </row>
    <row r="97" customFormat="false" ht="33.75" hidden="false" customHeight="true" outlineLevel="0" collapsed="false">
      <c r="A97" s="10" t="s">
        <v>12</v>
      </c>
      <c r="B97" s="11" t="s">
        <v>131</v>
      </c>
      <c r="C97" s="11" t="s">
        <v>9</v>
      </c>
      <c r="D97" s="11" t="s">
        <v>138</v>
      </c>
      <c r="E97" s="11" t="s">
        <v>133</v>
      </c>
      <c r="F97" s="12" t="s">
        <v>41</v>
      </c>
      <c r="G97" s="13"/>
      <c r="H97" s="13"/>
    </row>
    <row r="98" customFormat="false" ht="33.75" hidden="false" customHeight="true" outlineLevel="0" collapsed="false">
      <c r="A98" s="10" t="s">
        <v>12</v>
      </c>
      <c r="B98" s="11" t="s">
        <v>131</v>
      </c>
      <c r="C98" s="11" t="s">
        <v>11</v>
      </c>
      <c r="D98" s="11" t="s">
        <v>139</v>
      </c>
      <c r="E98" s="11" t="s">
        <v>133</v>
      </c>
      <c r="F98" s="12" t="s">
        <v>37</v>
      </c>
      <c r="G98" s="13"/>
      <c r="H98" s="13"/>
    </row>
    <row r="99" customFormat="false" ht="33.75" hidden="false" customHeight="true" outlineLevel="0" collapsed="false">
      <c r="A99" s="10" t="s">
        <v>12</v>
      </c>
      <c r="B99" s="11" t="s">
        <v>131</v>
      </c>
      <c r="C99" s="11" t="s">
        <v>11</v>
      </c>
      <c r="D99" s="11" t="s">
        <v>140</v>
      </c>
      <c r="E99" s="11" t="s">
        <v>133</v>
      </c>
      <c r="F99" s="12" t="s">
        <v>37</v>
      </c>
      <c r="G99" s="13"/>
      <c r="H99" s="13"/>
    </row>
    <row r="100" customFormat="false" ht="33.75" hidden="false" customHeight="true" outlineLevel="0" collapsed="false">
      <c r="A100" s="10" t="s">
        <v>12</v>
      </c>
      <c r="B100" s="11" t="s">
        <v>131</v>
      </c>
      <c r="C100" s="11" t="s">
        <v>11</v>
      </c>
      <c r="D100" s="11" t="s">
        <v>141</v>
      </c>
      <c r="E100" s="11" t="s">
        <v>133</v>
      </c>
      <c r="F100" s="12" t="s">
        <v>37</v>
      </c>
      <c r="G100" s="13"/>
      <c r="H100" s="13"/>
    </row>
    <row r="101" customFormat="false" ht="33.75" hidden="false" customHeight="true" outlineLevel="0" collapsed="false">
      <c r="A101" s="10" t="s">
        <v>12</v>
      </c>
      <c r="B101" s="11" t="s">
        <v>131</v>
      </c>
      <c r="C101" s="11" t="s">
        <v>11</v>
      </c>
      <c r="D101" s="11" t="s">
        <v>142</v>
      </c>
      <c r="E101" s="11" t="s">
        <v>133</v>
      </c>
      <c r="F101" s="12" t="s">
        <v>37</v>
      </c>
      <c r="G101" s="13"/>
      <c r="H101" s="13"/>
    </row>
    <row r="102" customFormat="false" ht="33.75" hidden="false" customHeight="true" outlineLevel="0" collapsed="false">
      <c r="A102" s="10" t="s">
        <v>12</v>
      </c>
      <c r="B102" s="11" t="s">
        <v>131</v>
      </c>
      <c r="C102" s="11" t="s">
        <v>11</v>
      </c>
      <c r="D102" s="11" t="s">
        <v>143</v>
      </c>
      <c r="E102" s="11" t="s">
        <v>133</v>
      </c>
      <c r="F102" s="12" t="s">
        <v>41</v>
      </c>
      <c r="G102" s="13"/>
      <c r="H102" s="13"/>
    </row>
    <row r="103" customFormat="false" ht="33.75" hidden="false" customHeight="true" outlineLevel="0" collapsed="false">
      <c r="A103" s="10" t="s">
        <v>12</v>
      </c>
      <c r="B103" s="11" t="s">
        <v>131</v>
      </c>
      <c r="C103" s="11" t="s">
        <v>11</v>
      </c>
      <c r="D103" s="11" t="s">
        <v>144</v>
      </c>
      <c r="E103" s="11" t="s">
        <v>133</v>
      </c>
      <c r="F103" s="12" t="s">
        <v>37</v>
      </c>
      <c r="G103" s="13"/>
      <c r="H103" s="13"/>
    </row>
    <row r="104" customFormat="false" ht="33.75" hidden="false" customHeight="true" outlineLevel="0" collapsed="false">
      <c r="A104" s="10" t="s">
        <v>12</v>
      </c>
      <c r="B104" s="11" t="s">
        <v>131</v>
      </c>
      <c r="C104" s="11" t="s">
        <v>11</v>
      </c>
      <c r="D104" s="11" t="s">
        <v>145</v>
      </c>
      <c r="E104" s="11" t="s">
        <v>133</v>
      </c>
      <c r="F104" s="12" t="s">
        <v>37</v>
      </c>
      <c r="G104" s="13"/>
      <c r="H104" s="13"/>
    </row>
    <row r="105" customFormat="false" ht="33.75" hidden="false" customHeight="true" outlineLevel="0" collapsed="false">
      <c r="A105" s="10" t="s">
        <v>12</v>
      </c>
      <c r="B105" s="11" t="s">
        <v>131</v>
      </c>
      <c r="C105" s="11" t="s">
        <v>11</v>
      </c>
      <c r="D105" s="11" t="s">
        <v>146</v>
      </c>
      <c r="E105" s="11" t="s">
        <v>133</v>
      </c>
      <c r="F105" s="12" t="s">
        <v>37</v>
      </c>
      <c r="G105" s="13"/>
      <c r="H105" s="13"/>
    </row>
    <row r="106" customFormat="false" ht="33.75" hidden="false" customHeight="true" outlineLevel="0" collapsed="false">
      <c r="A106" s="10" t="s">
        <v>12</v>
      </c>
      <c r="B106" s="11" t="s">
        <v>131</v>
      </c>
      <c r="C106" s="11" t="s">
        <v>15</v>
      </c>
      <c r="D106" s="11" t="s">
        <v>147</v>
      </c>
      <c r="E106" s="11" t="s">
        <v>133</v>
      </c>
      <c r="F106" s="12" t="s">
        <v>41</v>
      </c>
      <c r="G106" s="13"/>
      <c r="H106" s="13"/>
    </row>
    <row r="107" customFormat="false" ht="33.75" hidden="false" customHeight="true" outlineLevel="0" collapsed="false">
      <c r="A107" s="10" t="s">
        <v>12</v>
      </c>
      <c r="B107" s="11" t="s">
        <v>131</v>
      </c>
      <c r="C107" s="11" t="s">
        <v>15</v>
      </c>
      <c r="D107" s="11" t="s">
        <v>148</v>
      </c>
      <c r="E107" s="11" t="s">
        <v>133</v>
      </c>
      <c r="F107" s="12" t="s">
        <v>41</v>
      </c>
      <c r="G107" s="13"/>
      <c r="H107" s="13"/>
    </row>
    <row r="108" customFormat="false" ht="33.75" hidden="false" customHeight="true" outlineLevel="0" collapsed="false">
      <c r="A108" s="10" t="s">
        <v>12</v>
      </c>
      <c r="B108" s="11" t="s">
        <v>131</v>
      </c>
      <c r="C108" s="11" t="s">
        <v>15</v>
      </c>
      <c r="D108" s="11" t="s">
        <v>149</v>
      </c>
      <c r="E108" s="11" t="s">
        <v>133</v>
      </c>
      <c r="F108" s="12" t="s">
        <v>41</v>
      </c>
      <c r="G108" s="13"/>
      <c r="H108" s="13"/>
    </row>
    <row r="109" customFormat="false" ht="33.75" hidden="false" customHeight="true" outlineLevel="0" collapsed="false">
      <c r="A109" s="10" t="s">
        <v>12</v>
      </c>
      <c r="B109" s="11" t="s">
        <v>131</v>
      </c>
      <c r="C109" s="11" t="s">
        <v>15</v>
      </c>
      <c r="D109" s="11" t="s">
        <v>150</v>
      </c>
      <c r="E109" s="11" t="s">
        <v>133</v>
      </c>
      <c r="F109" s="12" t="s">
        <v>37</v>
      </c>
      <c r="G109" s="13"/>
      <c r="H109" s="13"/>
    </row>
    <row r="110" customFormat="false" ht="33.75" hidden="false" customHeight="true" outlineLevel="0" collapsed="false">
      <c r="A110" s="10" t="s">
        <v>12</v>
      </c>
      <c r="B110" s="11" t="s">
        <v>131</v>
      </c>
      <c r="C110" s="11" t="s">
        <v>15</v>
      </c>
      <c r="D110" s="11" t="s">
        <v>151</v>
      </c>
      <c r="E110" s="11" t="s">
        <v>133</v>
      </c>
      <c r="F110" s="12" t="s">
        <v>37</v>
      </c>
      <c r="G110" s="13"/>
      <c r="H110" s="13"/>
    </row>
    <row r="111" customFormat="false" ht="33.75" hidden="false" customHeight="true" outlineLevel="0" collapsed="false">
      <c r="A111" s="10" t="s">
        <v>12</v>
      </c>
      <c r="B111" s="11" t="s">
        <v>131</v>
      </c>
      <c r="C111" s="11" t="s">
        <v>15</v>
      </c>
      <c r="D111" s="11" t="s">
        <v>152</v>
      </c>
      <c r="E111" s="11" t="s">
        <v>133</v>
      </c>
      <c r="F111" s="12" t="s">
        <v>41</v>
      </c>
      <c r="G111" s="13"/>
      <c r="H111" s="13"/>
    </row>
    <row r="112" customFormat="false" ht="33.75" hidden="false" customHeight="true" outlineLevel="0" collapsed="false">
      <c r="A112" s="10" t="s">
        <v>12</v>
      </c>
      <c r="B112" s="11" t="s">
        <v>131</v>
      </c>
      <c r="C112" s="11" t="s">
        <v>18</v>
      </c>
      <c r="D112" s="11" t="s">
        <v>153</v>
      </c>
      <c r="E112" s="11" t="s">
        <v>133</v>
      </c>
      <c r="F112" s="12" t="s">
        <v>37</v>
      </c>
      <c r="G112" s="13"/>
      <c r="H112" s="13"/>
    </row>
    <row r="113" customFormat="false" ht="33.75" hidden="false" customHeight="true" outlineLevel="0" collapsed="false">
      <c r="A113" s="10" t="s">
        <v>12</v>
      </c>
      <c r="B113" s="11" t="s">
        <v>131</v>
      </c>
      <c r="C113" s="11" t="s">
        <v>18</v>
      </c>
      <c r="D113" s="11" t="s">
        <v>154</v>
      </c>
      <c r="E113" s="11" t="s">
        <v>133</v>
      </c>
      <c r="F113" s="12" t="s">
        <v>37</v>
      </c>
      <c r="G113" s="13"/>
      <c r="H113" s="13"/>
    </row>
    <row r="114" customFormat="false" ht="33.75" hidden="false" customHeight="true" outlineLevel="0" collapsed="false">
      <c r="A114" s="10" t="s">
        <v>12</v>
      </c>
      <c r="B114" s="11" t="s">
        <v>131</v>
      </c>
      <c r="C114" s="11" t="s">
        <v>18</v>
      </c>
      <c r="D114" s="11" t="s">
        <v>155</v>
      </c>
      <c r="E114" s="11" t="s">
        <v>133</v>
      </c>
      <c r="F114" s="12" t="s">
        <v>41</v>
      </c>
      <c r="G114" s="13"/>
      <c r="H114" s="13"/>
    </row>
    <row r="115" customFormat="false" ht="33.75" hidden="false" customHeight="true" outlineLevel="0" collapsed="false">
      <c r="A115" s="10" t="s">
        <v>12</v>
      </c>
      <c r="B115" s="11" t="s">
        <v>131</v>
      </c>
      <c r="C115" s="11" t="s">
        <v>20</v>
      </c>
      <c r="D115" s="11" t="s">
        <v>156</v>
      </c>
      <c r="E115" s="11" t="s">
        <v>133</v>
      </c>
      <c r="F115" s="12" t="s">
        <v>37</v>
      </c>
      <c r="G115" s="13"/>
      <c r="H115" s="13"/>
    </row>
    <row r="116" customFormat="false" ht="33.75" hidden="false" customHeight="true" outlineLevel="0" collapsed="false">
      <c r="A116" s="10" t="s">
        <v>12</v>
      </c>
      <c r="B116" s="11" t="s">
        <v>131</v>
      </c>
      <c r="C116" s="11" t="s">
        <v>20</v>
      </c>
      <c r="D116" s="11" t="s">
        <v>157</v>
      </c>
      <c r="E116" s="11" t="s">
        <v>133</v>
      </c>
      <c r="F116" s="12" t="s">
        <v>37</v>
      </c>
      <c r="G116" s="13"/>
      <c r="H116" s="13"/>
    </row>
    <row r="117" customFormat="false" ht="33.75" hidden="false" customHeight="true" outlineLevel="0" collapsed="false">
      <c r="A117" s="10" t="s">
        <v>12</v>
      </c>
      <c r="B117" s="11" t="s">
        <v>131</v>
      </c>
      <c r="C117" s="11" t="s">
        <v>29</v>
      </c>
      <c r="D117" s="11" t="s">
        <v>158</v>
      </c>
      <c r="E117" s="11" t="s">
        <v>133</v>
      </c>
      <c r="F117" s="12" t="s">
        <v>41</v>
      </c>
      <c r="G117" s="13"/>
      <c r="H117" s="13"/>
    </row>
    <row r="118" customFormat="false" ht="33.75" hidden="false" customHeight="true" outlineLevel="0" collapsed="false">
      <c r="A118" s="10" t="s">
        <v>12</v>
      </c>
      <c r="B118" s="11" t="s">
        <v>131</v>
      </c>
      <c r="C118" s="11" t="s">
        <v>29</v>
      </c>
      <c r="D118" s="11" t="s">
        <v>159</v>
      </c>
      <c r="E118" s="11" t="s">
        <v>133</v>
      </c>
      <c r="F118" s="12" t="s">
        <v>41</v>
      </c>
      <c r="G118" s="13"/>
      <c r="H118" s="13"/>
    </row>
    <row r="119" customFormat="false" ht="33.75" hidden="false" customHeight="true" outlineLevel="0" collapsed="false">
      <c r="A119" s="10" t="s">
        <v>12</v>
      </c>
      <c r="B119" s="11" t="s">
        <v>131</v>
      </c>
      <c r="C119" s="11" t="s">
        <v>29</v>
      </c>
      <c r="D119" s="11" t="s">
        <v>160</v>
      </c>
      <c r="E119" s="11" t="s">
        <v>133</v>
      </c>
      <c r="F119" s="12" t="s">
        <v>41</v>
      </c>
      <c r="G119" s="13"/>
      <c r="H119" s="13"/>
    </row>
    <row r="120" customFormat="false" ht="33.75" hidden="false" customHeight="true" outlineLevel="0" collapsed="false">
      <c r="A120" s="10" t="s">
        <v>12</v>
      </c>
      <c r="B120" s="11" t="s">
        <v>131</v>
      </c>
      <c r="C120" s="11" t="s">
        <v>29</v>
      </c>
      <c r="D120" s="11" t="s">
        <v>161</v>
      </c>
      <c r="E120" s="11" t="s">
        <v>133</v>
      </c>
      <c r="F120" s="12" t="s">
        <v>41</v>
      </c>
      <c r="G120" s="13"/>
      <c r="H120" s="13"/>
    </row>
    <row r="122" customFormat="false" ht="15" hidden="false" customHeight="false" outlineLevel="0" collapsed="false">
      <c r="A122" s="2" t="s">
        <v>162</v>
      </c>
    </row>
  </sheetData>
  <autoFilter ref="A1:H1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2026-09-10T03:46:06Z</dcterms:created>
  <dc:creator>openpyxl</dc:creator>
  <dc:description/>
  <dc:language>en-US</dc:language>
  <cp:lastModifiedBy/>
  <dcterms:modified xsi:type="dcterms:W3CDTF">2026-09-10T03:46:06Z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